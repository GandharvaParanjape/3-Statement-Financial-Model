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Study Material\LinkedIn\Projects\"/>
    </mc:Choice>
  </mc:AlternateContent>
  <xr:revisionPtr revIDLastSave="0" documentId="13_ncr:1_{2E8D1C51-2AA5-48EC-9EC5-533D0A2C1F15}" xr6:coauthVersionLast="47" xr6:coauthVersionMax="47" xr10:uidLastSave="{00000000-0000-0000-0000-000000000000}"/>
  <bookViews>
    <workbookView xWindow="-120" yWindow="-120" windowWidth="29040" windowHeight="15720" tabRatio="500" activeTab="3" xr2:uid="{00000000-000D-0000-FFFF-FFFF00000000}"/>
  </bookViews>
  <sheets>
    <sheet name="Assumptions" sheetId="1" r:id="rId1"/>
    <sheet name="Income Statement" sheetId="2" r:id="rId2"/>
    <sheet name="Balance Sheet" sheetId="3" r:id="rId3"/>
    <sheet name="Cash Flow Statement" sheetId="4" r:id="rId4"/>
    <sheet name="Supporting Schedules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0" i="5" l="1"/>
  <c r="C18" i="5" s="1"/>
  <c r="I19" i="5"/>
  <c r="H19" i="5"/>
  <c r="G19" i="5"/>
  <c r="F19" i="5"/>
  <c r="E19" i="5"/>
  <c r="B19" i="5"/>
  <c r="D15" i="5"/>
  <c r="C15" i="5"/>
  <c r="B15" i="5"/>
  <c r="D14" i="5"/>
  <c r="C14" i="5"/>
  <c r="B14" i="5"/>
  <c r="D13" i="5"/>
  <c r="C13" i="5"/>
  <c r="B13" i="5"/>
  <c r="B9" i="5"/>
  <c r="B10" i="5" s="1"/>
  <c r="C6" i="5" s="1"/>
  <c r="D26" i="4"/>
  <c r="C26" i="4"/>
  <c r="B26" i="4"/>
  <c r="I24" i="4"/>
  <c r="H24" i="4"/>
  <c r="G24" i="4"/>
  <c r="F24" i="4"/>
  <c r="E24" i="4"/>
  <c r="I22" i="4"/>
  <c r="H22" i="4"/>
  <c r="G22" i="4"/>
  <c r="F22" i="4"/>
  <c r="E22" i="4"/>
  <c r="D17" i="4"/>
  <c r="D19" i="4" s="1"/>
  <c r="C17" i="4"/>
  <c r="C19" i="4" s="1"/>
  <c r="B17" i="4"/>
  <c r="B19" i="4" s="1"/>
  <c r="D7" i="4"/>
  <c r="C7" i="4"/>
  <c r="B7" i="4"/>
  <c r="D37" i="3"/>
  <c r="C37" i="3"/>
  <c r="B37" i="3"/>
  <c r="E35" i="3"/>
  <c r="F35" i="3" s="1"/>
  <c r="G35" i="3" s="1"/>
  <c r="H35" i="3" s="1"/>
  <c r="I35" i="3" s="1"/>
  <c r="E33" i="3"/>
  <c r="F33" i="3" s="1"/>
  <c r="C30" i="3"/>
  <c r="C39" i="3" s="1"/>
  <c r="B30" i="3"/>
  <c r="B39" i="3" s="1"/>
  <c r="F29" i="3"/>
  <c r="G29" i="3" s="1"/>
  <c r="H29" i="3" s="1"/>
  <c r="I29" i="3" s="1"/>
  <c r="E29" i="3"/>
  <c r="G28" i="3"/>
  <c r="H28" i="3" s="1"/>
  <c r="I28" i="3" s="1"/>
  <c r="F28" i="3"/>
  <c r="E28" i="3"/>
  <c r="D26" i="3"/>
  <c r="D30" i="3" s="1"/>
  <c r="D39" i="3" s="1"/>
  <c r="C26" i="3"/>
  <c r="B26" i="3"/>
  <c r="H25" i="3"/>
  <c r="I25" i="3" s="1"/>
  <c r="E25" i="3"/>
  <c r="F25" i="3" s="1"/>
  <c r="G25" i="3" s="1"/>
  <c r="F24" i="3"/>
  <c r="G24" i="3" s="1"/>
  <c r="H24" i="3" s="1"/>
  <c r="I24" i="3" s="1"/>
  <c r="E24" i="3"/>
  <c r="F23" i="3"/>
  <c r="G23" i="3" s="1"/>
  <c r="H23" i="3" s="1"/>
  <c r="I23" i="3" s="1"/>
  <c r="E23" i="3"/>
  <c r="E21" i="3"/>
  <c r="F21" i="3" s="1"/>
  <c r="G21" i="3" s="1"/>
  <c r="H21" i="3" s="1"/>
  <c r="I21" i="3" s="1"/>
  <c r="F20" i="3"/>
  <c r="G20" i="3" s="1"/>
  <c r="E20" i="3"/>
  <c r="B17" i="3"/>
  <c r="E16" i="3"/>
  <c r="F16" i="3" s="1"/>
  <c r="G16" i="3" s="1"/>
  <c r="H16" i="3" s="1"/>
  <c r="I16" i="3" s="1"/>
  <c r="G15" i="3"/>
  <c r="H15" i="3" s="1"/>
  <c r="I15" i="3" s="1"/>
  <c r="E15" i="3"/>
  <c r="F15" i="3" s="1"/>
  <c r="I14" i="3"/>
  <c r="H14" i="3"/>
  <c r="E14" i="3"/>
  <c r="F14" i="3" s="1"/>
  <c r="G14" i="3" s="1"/>
  <c r="E13" i="3"/>
  <c r="F13" i="3" s="1"/>
  <c r="G13" i="3" s="1"/>
  <c r="H13" i="3" s="1"/>
  <c r="I13" i="3" s="1"/>
  <c r="D11" i="3"/>
  <c r="D17" i="3" s="1"/>
  <c r="D41" i="3" s="1"/>
  <c r="C11" i="3"/>
  <c r="C17" i="3" s="1"/>
  <c r="C41" i="3" s="1"/>
  <c r="B11" i="3"/>
  <c r="H10" i="3"/>
  <c r="I10" i="3" s="1"/>
  <c r="G10" i="3"/>
  <c r="E10" i="3"/>
  <c r="F10" i="3" s="1"/>
  <c r="E7" i="3"/>
  <c r="F7" i="3" s="1"/>
  <c r="G7" i="3" s="1"/>
  <c r="H7" i="3" s="1"/>
  <c r="I7" i="3" s="1"/>
  <c r="E18" i="2"/>
  <c r="D18" i="2"/>
  <c r="C18" i="2"/>
  <c r="D16" i="2"/>
  <c r="C16" i="2"/>
  <c r="D15" i="2"/>
  <c r="B15" i="2"/>
  <c r="C13" i="2"/>
  <c r="C22" i="1" s="1"/>
  <c r="B9" i="2"/>
  <c r="B11" i="2" s="1"/>
  <c r="D7" i="2"/>
  <c r="D9" i="2" s="1"/>
  <c r="D11" i="2" s="1"/>
  <c r="C7" i="2"/>
  <c r="C9" i="2" s="1"/>
  <c r="C11" i="2" s="1"/>
  <c r="C13" i="1" s="1"/>
  <c r="B7" i="2"/>
  <c r="E5" i="2"/>
  <c r="E8" i="5" s="1"/>
  <c r="E7" i="4" s="1"/>
  <c r="D24" i="1"/>
  <c r="C24" i="1"/>
  <c r="B24" i="1"/>
  <c r="D23" i="1"/>
  <c r="C23" i="1"/>
  <c r="B23" i="1"/>
  <c r="D19" i="1"/>
  <c r="C19" i="1"/>
  <c r="B19" i="1"/>
  <c r="I19" i="1" s="1"/>
  <c r="I18" i="1"/>
  <c r="F18" i="1"/>
  <c r="E18" i="1"/>
  <c r="D18" i="1"/>
  <c r="C18" i="1"/>
  <c r="B18" i="1"/>
  <c r="H18" i="1" s="1"/>
  <c r="D17" i="1"/>
  <c r="C17" i="1"/>
  <c r="B17" i="1"/>
  <c r="D14" i="1"/>
  <c r="C14" i="1"/>
  <c r="I14" i="1" s="1"/>
  <c r="I8" i="4" s="1"/>
  <c r="B14" i="1"/>
  <c r="D12" i="1"/>
  <c r="C12" i="1"/>
  <c r="B12" i="1"/>
  <c r="I11" i="1"/>
  <c r="D11" i="1"/>
  <c r="C11" i="1"/>
  <c r="B11" i="1"/>
  <c r="I10" i="1"/>
  <c r="G10" i="1"/>
  <c r="F10" i="1"/>
  <c r="E10" i="1"/>
  <c r="D10" i="1"/>
  <c r="C10" i="1"/>
  <c r="B10" i="1"/>
  <c r="H10" i="1" s="1"/>
  <c r="G9" i="1"/>
  <c r="F9" i="1"/>
  <c r="E9" i="1"/>
  <c r="E8" i="2" s="1"/>
  <c r="D9" i="1"/>
  <c r="C9" i="1"/>
  <c r="B9" i="1"/>
  <c r="D8" i="1"/>
  <c r="C8" i="1"/>
  <c r="B8" i="1"/>
  <c r="D7" i="1"/>
  <c r="C7" i="1"/>
  <c r="D13" i="1" l="1"/>
  <c r="D13" i="2"/>
  <c r="H20" i="3"/>
  <c r="I12" i="1"/>
  <c r="I10" i="2" s="1"/>
  <c r="H12" i="1"/>
  <c r="H10" i="2" s="1"/>
  <c r="B13" i="2"/>
  <c r="B13" i="1"/>
  <c r="H17" i="1"/>
  <c r="I17" i="1"/>
  <c r="H8" i="1"/>
  <c r="G8" i="1"/>
  <c r="F8" i="1"/>
  <c r="E8" i="1"/>
  <c r="E6" i="2" s="1"/>
  <c r="B41" i="3"/>
  <c r="F17" i="1"/>
  <c r="I8" i="1"/>
  <c r="G17" i="1"/>
  <c r="H19" i="1"/>
  <c r="G19" i="1"/>
  <c r="F19" i="1"/>
  <c r="E19" i="1"/>
  <c r="C17" i="2"/>
  <c r="E17" i="1"/>
  <c r="E13" i="5" s="1"/>
  <c r="E8" i="3" s="1"/>
  <c r="E10" i="4" s="1"/>
  <c r="G33" i="3"/>
  <c r="C10" i="5"/>
  <c r="D6" i="5" s="1"/>
  <c r="E12" i="1"/>
  <c r="E10" i="2" s="1"/>
  <c r="F12" i="1"/>
  <c r="F10" i="2" s="1"/>
  <c r="G12" i="1"/>
  <c r="G10" i="2" s="1"/>
  <c r="H11" i="1"/>
  <c r="G11" i="1"/>
  <c r="F11" i="1"/>
  <c r="E11" i="1"/>
  <c r="E7" i="5" s="1"/>
  <c r="E17" i="4" s="1"/>
  <c r="E19" i="4" s="1"/>
  <c r="C6" i="4"/>
  <c r="C14" i="4" s="1"/>
  <c r="C29" i="4" s="1"/>
  <c r="C9" i="5"/>
  <c r="H9" i="1"/>
  <c r="I9" i="1"/>
  <c r="H14" i="1"/>
  <c r="H8" i="4" s="1"/>
  <c r="G14" i="1"/>
  <c r="G8" i="4" s="1"/>
  <c r="F14" i="1"/>
  <c r="F8" i="4" s="1"/>
  <c r="E14" i="1"/>
  <c r="E8" i="4" s="1"/>
  <c r="E34" i="3" s="1"/>
  <c r="F34" i="3" s="1"/>
  <c r="G34" i="3" s="1"/>
  <c r="H34" i="3" s="1"/>
  <c r="I34" i="3" s="1"/>
  <c r="C19" i="5"/>
  <c r="C20" i="5" s="1"/>
  <c r="D18" i="5" s="1"/>
  <c r="G18" i="1"/>
  <c r="B16" i="2"/>
  <c r="C15" i="2"/>
  <c r="F5" i="2"/>
  <c r="D19" i="5" l="1"/>
  <c r="D20" i="5" s="1"/>
  <c r="E18" i="5" s="1"/>
  <c r="E20" i="5" s="1"/>
  <c r="E15" i="5"/>
  <c r="E22" i="3" s="1"/>
  <c r="E14" i="5"/>
  <c r="E9" i="3" s="1"/>
  <c r="E11" i="4" s="1"/>
  <c r="E7" i="2"/>
  <c r="H13" i="1"/>
  <c r="G13" i="1"/>
  <c r="F13" i="1"/>
  <c r="I13" i="1"/>
  <c r="E13" i="1"/>
  <c r="F13" i="5"/>
  <c r="F8" i="3" s="1"/>
  <c r="F10" i="4" s="1"/>
  <c r="F18" i="2"/>
  <c r="F7" i="5"/>
  <c r="F17" i="4" s="1"/>
  <c r="F19" i="4" s="1"/>
  <c r="F8" i="2"/>
  <c r="G5" i="2"/>
  <c r="F6" i="2"/>
  <c r="F8" i="5"/>
  <c r="F7" i="4" s="1"/>
  <c r="H33" i="3"/>
  <c r="D6" i="4"/>
  <c r="D14" i="4" s="1"/>
  <c r="D29" i="4" s="1"/>
  <c r="D22" i="1"/>
  <c r="D17" i="2"/>
  <c r="B17" i="2"/>
  <c r="B22" i="1"/>
  <c r="B6" i="4"/>
  <c r="B14" i="4" s="1"/>
  <c r="B29" i="4" s="1"/>
  <c r="B31" i="4" s="1"/>
  <c r="D9" i="5"/>
  <c r="D10" i="5" s="1"/>
  <c r="E6" i="5" s="1"/>
  <c r="E10" i="5" s="1"/>
  <c r="I20" i="3"/>
  <c r="E12" i="3" l="1"/>
  <c r="F6" i="5"/>
  <c r="F10" i="5" s="1"/>
  <c r="E27" i="3"/>
  <c r="F18" i="5"/>
  <c r="F20" i="5" s="1"/>
  <c r="E15" i="2"/>
  <c r="E9" i="2"/>
  <c r="I33" i="3"/>
  <c r="F15" i="5"/>
  <c r="F22" i="3" s="1"/>
  <c r="F14" i="5"/>
  <c r="F9" i="3" s="1"/>
  <c r="F11" i="4" s="1"/>
  <c r="G18" i="2"/>
  <c r="G13" i="5"/>
  <c r="G8" i="3" s="1"/>
  <c r="G10" i="4" s="1"/>
  <c r="G7" i="5"/>
  <c r="G17" i="4" s="1"/>
  <c r="G19" i="4" s="1"/>
  <c r="G8" i="5"/>
  <c r="G7" i="4" s="1"/>
  <c r="G6" i="2"/>
  <c r="H5" i="2"/>
  <c r="G8" i="2"/>
  <c r="G7" i="2"/>
  <c r="E13" i="4"/>
  <c r="E26" i="3"/>
  <c r="E30" i="3" s="1"/>
  <c r="B32" i="4"/>
  <c r="C30" i="4"/>
  <c r="C31" i="4" s="1"/>
  <c r="F7" i="2"/>
  <c r="F15" i="2" l="1"/>
  <c r="F9" i="2"/>
  <c r="C32" i="4"/>
  <c r="D30" i="4"/>
  <c r="D31" i="4" s="1"/>
  <c r="H13" i="5"/>
  <c r="H8" i="3" s="1"/>
  <c r="H10" i="4" s="1"/>
  <c r="H7" i="5"/>
  <c r="H17" i="4" s="1"/>
  <c r="H19" i="4" s="1"/>
  <c r="H8" i="2"/>
  <c r="H8" i="5"/>
  <c r="H7" i="4" s="1"/>
  <c r="H7" i="2"/>
  <c r="I5" i="2"/>
  <c r="H18" i="2"/>
  <c r="H6" i="2"/>
  <c r="F27" i="3"/>
  <c r="G18" i="5"/>
  <c r="G20" i="5" s="1"/>
  <c r="F13" i="4"/>
  <c r="F26" i="3"/>
  <c r="F30" i="3" s="1"/>
  <c r="E11" i="2"/>
  <c r="E16" i="2"/>
  <c r="G14" i="5"/>
  <c r="G9" i="3" s="1"/>
  <c r="G11" i="4" s="1"/>
  <c r="G15" i="5"/>
  <c r="G22" i="3" s="1"/>
  <c r="G9" i="2"/>
  <c r="G15" i="2"/>
  <c r="G6" i="5"/>
  <c r="G10" i="5" s="1"/>
  <c r="F12" i="3"/>
  <c r="E12" i="2" l="1"/>
  <c r="E13" i="2" s="1"/>
  <c r="I13" i="5"/>
  <c r="I8" i="3" s="1"/>
  <c r="I10" i="4" s="1"/>
  <c r="I7" i="5"/>
  <c r="I17" i="4" s="1"/>
  <c r="I19" i="4" s="1"/>
  <c r="I6" i="2"/>
  <c r="I8" i="2"/>
  <c r="I8" i="5"/>
  <c r="I7" i="4" s="1"/>
  <c r="I7" i="2"/>
  <c r="I18" i="2"/>
  <c r="H18" i="5"/>
  <c r="H20" i="5" s="1"/>
  <c r="G27" i="3"/>
  <c r="H9" i="2"/>
  <c r="H15" i="2"/>
  <c r="G16" i="2"/>
  <c r="G11" i="2"/>
  <c r="G13" i="4"/>
  <c r="G26" i="3"/>
  <c r="E30" i="4"/>
  <c r="D32" i="4"/>
  <c r="F16" i="2"/>
  <c r="F11" i="2"/>
  <c r="H6" i="5"/>
  <c r="H10" i="5" s="1"/>
  <c r="G12" i="3"/>
  <c r="H15" i="5"/>
  <c r="H22" i="3" s="1"/>
  <c r="H14" i="5"/>
  <c r="H9" i="3" s="1"/>
  <c r="H11" i="4" s="1"/>
  <c r="E23" i="4" l="1"/>
  <c r="E26" i="4" s="1"/>
  <c r="E6" i="4"/>
  <c r="E14" i="4" s="1"/>
  <c r="E29" i="4" s="1"/>
  <c r="E17" i="2"/>
  <c r="E36" i="3"/>
  <c r="I18" i="5"/>
  <c r="I20" i="5" s="1"/>
  <c r="I27" i="3" s="1"/>
  <c r="H27" i="3"/>
  <c r="E31" i="4"/>
  <c r="G30" i="3"/>
  <c r="H16" i="2"/>
  <c r="H11" i="2"/>
  <c r="F12" i="2"/>
  <c r="F13" i="2" s="1"/>
  <c r="I15" i="5"/>
  <c r="I22" i="3" s="1"/>
  <c r="I14" i="5"/>
  <c r="I9" i="3" s="1"/>
  <c r="I11" i="4" s="1"/>
  <c r="H12" i="3"/>
  <c r="I6" i="5"/>
  <c r="I10" i="5" s="1"/>
  <c r="I12" i="3" s="1"/>
  <c r="I15" i="2"/>
  <c r="I9" i="2"/>
  <c r="G12" i="2"/>
  <c r="G13" i="2" s="1"/>
  <c r="H13" i="4"/>
  <c r="H26" i="3"/>
  <c r="H30" i="3" s="1"/>
  <c r="F23" i="4" l="1"/>
  <c r="F26" i="4" s="1"/>
  <c r="F6" i="4"/>
  <c r="F14" i="4" s="1"/>
  <c r="F29" i="4" s="1"/>
  <c r="F17" i="2"/>
  <c r="G6" i="4"/>
  <c r="G14" i="4" s="1"/>
  <c r="G23" i="4"/>
  <c r="G26" i="4" s="1"/>
  <c r="G17" i="2"/>
  <c r="I16" i="2"/>
  <c r="I11" i="2"/>
  <c r="H12" i="2"/>
  <c r="H13" i="2" s="1"/>
  <c r="F30" i="4"/>
  <c r="E6" i="3"/>
  <c r="E11" i="3" s="1"/>
  <c r="E17" i="3" s="1"/>
  <c r="E32" i="4"/>
  <c r="F36" i="3"/>
  <c r="E37" i="3"/>
  <c r="E39" i="3" s="1"/>
  <c r="I13" i="4"/>
  <c r="I26" i="3"/>
  <c r="I30" i="3" s="1"/>
  <c r="H6" i="4" l="1"/>
  <c r="H14" i="4" s="1"/>
  <c r="H23" i="4"/>
  <c r="H26" i="4" s="1"/>
  <c r="H17" i="2"/>
  <c r="G29" i="4"/>
  <c r="I12" i="2"/>
  <c r="I13" i="2"/>
  <c r="G36" i="3"/>
  <c r="F37" i="3"/>
  <c r="F39" i="3" s="1"/>
  <c r="E41" i="3"/>
  <c r="F31" i="4"/>
  <c r="H36" i="3" l="1"/>
  <c r="G37" i="3"/>
  <c r="G39" i="3" s="1"/>
  <c r="G30" i="4"/>
  <c r="G31" i="4" s="1"/>
  <c r="F6" i="3"/>
  <c r="F11" i="3" s="1"/>
  <c r="F17" i="3" s="1"/>
  <c r="F41" i="3" s="1"/>
  <c r="I23" i="4"/>
  <c r="I26" i="4" s="1"/>
  <c r="I6" i="4"/>
  <c r="I14" i="4" s="1"/>
  <c r="I29" i="4" s="1"/>
  <c r="I17" i="2"/>
  <c r="H29" i="4"/>
  <c r="G6" i="3" l="1"/>
  <c r="G11" i="3" s="1"/>
  <c r="G17" i="3" s="1"/>
  <c r="G41" i="3" s="1"/>
  <c r="H30" i="4"/>
  <c r="H31" i="4" s="1"/>
  <c r="F32" i="4"/>
  <c r="I36" i="3"/>
  <c r="I37" i="3" s="1"/>
  <c r="I39" i="3" s="1"/>
  <c r="H37" i="3"/>
  <c r="H39" i="3" s="1"/>
  <c r="H6" i="3" l="1"/>
  <c r="H11" i="3" s="1"/>
  <c r="H17" i="3" s="1"/>
  <c r="H41" i="3" s="1"/>
  <c r="I30" i="4"/>
  <c r="I31" i="4" s="1"/>
  <c r="G32" i="4"/>
  <c r="I32" i="4" l="1"/>
  <c r="I6" i="3"/>
  <c r="I11" i="3" s="1"/>
  <c r="I17" i="3" s="1"/>
  <c r="I41" i="3" s="1"/>
  <c r="H32" i="4"/>
</calcChain>
</file>

<file path=xl/sharedStrings.xml><?xml version="1.0" encoding="utf-8"?>
<sst xmlns="http://schemas.openxmlformats.org/spreadsheetml/2006/main" count="158" uniqueCount="124">
  <si>
    <t>NIKE, INC. — 3-STATEMENT FINANCIAL MODEL</t>
  </si>
  <si>
    <t>Key Assumptions  |  $ in millions except % and days</t>
  </si>
  <si>
    <t>Legend: blue = hardcoded input/override; black = formula or historical reference. Forecast assumptions (FY2026E-FY2030E) are held flat across the projection period for simplicity, except where noted.</t>
  </si>
  <si>
    <t>FY2023A</t>
  </si>
  <si>
    <t>FY2024A</t>
  </si>
  <si>
    <t>FY2025A</t>
  </si>
  <si>
    <t>FY2026E</t>
  </si>
  <si>
    <t>FY2027E</t>
  </si>
  <si>
    <t>FY2028E</t>
  </si>
  <si>
    <t>FY2029E</t>
  </si>
  <si>
    <t>FY2030E</t>
  </si>
  <si>
    <t>Income Statement &amp; Capex Drivers</t>
  </si>
  <si>
    <t>Revenue growth (% YoY)</t>
  </si>
  <si>
    <t>COGS (% of revenue)</t>
  </si>
  <si>
    <t>SG&amp;A (% of revenue)</t>
  </si>
  <si>
    <t>D&amp;A (% of revenue)</t>
  </si>
  <si>
    <t>Capex (% of revenue)</t>
  </si>
  <si>
    <t>Non-operating income (net), $mm</t>
  </si>
  <si>
    <t>Effective tax rate (%)</t>
  </si>
  <si>
    <t>Stock-based compensation, $mm</t>
  </si>
  <si>
    <t>Working Capital Drivers</t>
  </si>
  <si>
    <t>Capital Structure &amp; Distribution Assumptions</t>
  </si>
  <si>
    <t>Dividend payout ratio (% of net income)</t>
  </si>
  <si>
    <t>Share repurchases, $mm</t>
  </si>
  <si>
    <t>Net debt issuance / (repayment), $mm</t>
  </si>
  <si>
    <t>Overrides vs. 3-yr historical average: dividend payout set to 40% (vs. ~50% historical, which is skewed by FY2025's depressed net income); share buybacks and net debt activity assumed at zero (discontinued) for forecast simplicity.</t>
  </si>
  <si>
    <t>NIKE, INC. — INCOME STATEMENT</t>
  </si>
  <si>
    <t>$ in millions  |  Fiscal year ended May 31</t>
  </si>
  <si>
    <t>Revenue</t>
  </si>
  <si>
    <t>Cost of goods sold</t>
  </si>
  <si>
    <t>Gross profit</t>
  </si>
  <si>
    <t>Selling, general &amp; administrative</t>
  </si>
  <si>
    <t>Operating income (EBIT)</t>
  </si>
  <si>
    <t>Non-operating income (net)</t>
  </si>
  <si>
    <t>Pretax income</t>
  </si>
  <si>
    <t>Income tax expense</t>
  </si>
  <si>
    <t>Net income</t>
  </si>
  <si>
    <t xml:space="preserve">  Gross margin %</t>
  </si>
  <si>
    <t xml:space="preserve">  Operating margin %</t>
  </si>
  <si>
    <t xml:space="preserve">  Net margin %</t>
  </si>
  <si>
    <t xml:space="preserve">  Revenue growth % YoY</t>
  </si>
  <si>
    <t>Sources: NIKE, Inc. Form 10-K, FY2025 (filed with SEC, period ended May 31, 2025) and FY2024 10-K (period ended May 31, 2024), Consolidated Statements of Income. SEC EDGAR CIK 0000320187.</t>
  </si>
  <si>
    <t>NIKE, INC. — BALANCE SHEET</t>
  </si>
  <si>
    <t>$ in millions  |  As of May 31</t>
  </si>
  <si>
    <t>ASSETS</t>
  </si>
  <si>
    <t>Cash and equivalents</t>
  </si>
  <si>
    <t>Short-term investments</t>
  </si>
  <si>
    <t>Accounts receivable, net</t>
  </si>
  <si>
    <t>Inventories</t>
  </si>
  <si>
    <t>Prepaid expenses &amp; other current assets</t>
  </si>
  <si>
    <t>Total current assets</t>
  </si>
  <si>
    <t>Property, plant &amp; equipment, net</t>
  </si>
  <si>
    <t>Operating lease right-of-use assets, net</t>
  </si>
  <si>
    <t>Identifiable intangible assets, net</t>
  </si>
  <si>
    <t>Goodwill</t>
  </si>
  <si>
    <t>Deferred income taxes &amp; other assets</t>
  </si>
  <si>
    <t>TOTAL ASSETS</t>
  </si>
  <si>
    <t>LIABILITIES</t>
  </si>
  <si>
    <t>Current portion of long-term debt</t>
  </si>
  <si>
    <t>Notes payable</t>
  </si>
  <si>
    <t>Accounts payable</t>
  </si>
  <si>
    <t>Current portion of operating lease liabilities</t>
  </si>
  <si>
    <t>Accrued liabilities</t>
  </si>
  <si>
    <t>Income taxes payable</t>
  </si>
  <si>
    <t>Total current liabilities</t>
  </si>
  <si>
    <t>Long-term debt</t>
  </si>
  <si>
    <t>Operating lease liabilities</t>
  </si>
  <si>
    <t>Deferred income taxes &amp; other liabilities</t>
  </si>
  <si>
    <t>TOTAL LIABILITIES</t>
  </si>
  <si>
    <t>SHAREHOLDERS' EQUITY</t>
  </si>
  <si>
    <t>Common stock</t>
  </si>
  <si>
    <t>Capital in excess of stated value (APIC)</t>
  </si>
  <si>
    <t>Accumulated other comprehensive income (loss)</t>
  </si>
  <si>
    <t>Retained earnings (deficit)</t>
  </si>
  <si>
    <t>TOTAL SHAREHOLDERS' EQUITY</t>
  </si>
  <si>
    <t>TOTAL LIABILITIES &amp; SHAREHOLDERS' EQUITY</t>
  </si>
  <si>
    <t>Sources: NIKE, Inc. Form 10-K, FY2025 (period ended May 31, 2025) and FY2023 10-K (period ended May 31, 2023, for FY2022 comparatives used as forecast roll-forward starting points), Consolidated Balance Sheets. SEC EDGAR CIK 0000320187.</t>
  </si>
  <si>
    <t>NIKE, INC. — CASH FLOW STATEMENT</t>
  </si>
  <si>
    <t>Cash flows from operating activities</t>
  </si>
  <si>
    <t>Depreciation &amp; amortization</t>
  </si>
  <si>
    <t>Stock-based compensation</t>
  </si>
  <si>
    <t>Deferred taxes &amp; other non-cash items</t>
  </si>
  <si>
    <t>(Increase) / decrease in accounts receivable</t>
  </si>
  <si>
    <t>(Increase) / decrease in inventories</t>
  </si>
  <si>
    <t>Change in other working capital &amp; non-cash items</t>
  </si>
  <si>
    <t>Increase / (decrease) in accounts payable</t>
  </si>
  <si>
    <t>Cash flow from operating activities</t>
  </si>
  <si>
    <t>Cash flows from investing activities</t>
  </si>
  <si>
    <t>Capital expenditures</t>
  </si>
  <si>
    <t>Other investing activities, net</t>
  </si>
  <si>
    <t>Cash flow from investing activities</t>
  </si>
  <si>
    <t>Cash flows from financing activities</t>
  </si>
  <si>
    <t>Net debt issuance / (repayment)</t>
  </si>
  <si>
    <t>Dividends paid</t>
  </si>
  <si>
    <t>Share repurchases</t>
  </si>
  <si>
    <t>Other financing activities, net</t>
  </si>
  <si>
    <t>Cash flow from financing activities</t>
  </si>
  <si>
    <t>Effect of exchange rate changes on cash</t>
  </si>
  <si>
    <t>Net increase / (decrease) in cash</t>
  </si>
  <si>
    <t>Cash, beginning of period</t>
  </si>
  <si>
    <t>Cash, end of period</t>
  </si>
  <si>
    <t>Check vs. Balance Sheet cash (should be zero)</t>
  </si>
  <si>
    <t>Sources: NIKE, Inc. Form 10-K, FY2025 and FY2024 (period ended May 31, 2025 and May 31, 2024), Consolidated Statements of Cash Flows; FY2022 beginning cash from FY2023 10-K comparatives. SEC EDGAR CIK 0000320187. 'Other working capital', 'other investing' and 'other financing' are aggregated 10-K line items not broken out further.</t>
  </si>
  <si>
    <t>NIKE, INC. — SUPPORTING SCHEDULES</t>
  </si>
  <si>
    <t>$ in millions unless otherwise noted  |  Fiscal year ended May 31</t>
  </si>
  <si>
    <t>PP&amp;E / Depreciation Schedule</t>
  </si>
  <si>
    <t>Beginning PP&amp;E, net</t>
  </si>
  <si>
    <t>(+) Capital expenditures</t>
  </si>
  <si>
    <t>(-) Depreciation &amp; amortization</t>
  </si>
  <si>
    <t>(+/-) Other (FX translation, disposals, etc.)</t>
  </si>
  <si>
    <t>Ending PP&amp;E, net</t>
  </si>
  <si>
    <t>Working Capital Schedule</t>
  </si>
  <si>
    <t>Accounts receivable, $</t>
  </si>
  <si>
    <t>Inventories, $</t>
  </si>
  <si>
    <t>Accounts payable, $</t>
  </si>
  <si>
    <t>Long-Term Debt Schedule</t>
  </si>
  <si>
    <t>Beginning long-term debt</t>
  </si>
  <si>
    <t>Net issuance / (repayment)</t>
  </si>
  <si>
    <t>Ending long-term debt</t>
  </si>
  <si>
    <t>Historical 'Other' and debt-schedule lines are back-solved plugs that reconcile the schedule to actual reported balances (FX translation, disposals and other non-capex PP&amp;E movements are not separately disclosed). Forecast capex and D&amp;A are driven by the Assumptions tab as a % of revenue.</t>
  </si>
  <si>
    <t>Balance (should be zero)</t>
  </si>
  <si>
    <t>Accounts receivable days</t>
  </si>
  <si>
    <t xml:space="preserve">Inventory days </t>
  </si>
  <si>
    <t xml:space="preserve">Accounts payable days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</si>
</sst>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;\(0.0%\);\-"/>
    <numFmt numFmtId="165" formatCode="\$#,##0;&quot;($&quot;#,##0\);\-"/>
    <numFmt numFmtId="166" formatCode="0.0&quot; days&quot;"/>
  </numFmts>
  <fonts count="9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i/>
      <sz val="9"/>
      <name val="Arial"/>
      <charset val="1"/>
    </font>
    <font>
      <b/>
      <sz val="10"/>
      <color rgb="FFFFFFFF"/>
      <name val="Arial"/>
      <charset val="1"/>
    </font>
    <font>
      <b/>
      <sz val="10"/>
      <name val="Arial"/>
      <charset val="1"/>
    </font>
    <font>
      <sz val="10"/>
      <color rgb="FF000000"/>
      <name val="Arial"/>
      <charset val="1"/>
    </font>
    <font>
      <b/>
      <sz val="10"/>
      <color rgb="FF0000FF"/>
      <name val="Arial"/>
      <charset val="1"/>
    </font>
    <font>
      <sz val="10"/>
      <color rgb="FF0000FF"/>
      <name val="Arial"/>
      <charset val="1"/>
    </font>
    <font>
      <sz val="10"/>
      <color rgb="FF008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 applyBorder="1" applyAlignment="1">
      <alignment vertical="top" wrapText="1"/>
    </xf>
    <xf numFmtId="0" fontId="0" fillId="0" borderId="0" xfId="0" applyAlignment="1"/>
    <xf numFmtId="0" fontId="3" fillId="2" borderId="0" xfId="0" applyFont="1" applyFill="1" applyAlignment="1">
      <alignment horizontal="center"/>
    </xf>
    <xf numFmtId="0" fontId="4" fillId="0" borderId="0" xfId="0" applyFont="1" applyAlignment="1"/>
    <xf numFmtId="0" fontId="5" fillId="0" borderId="0" xfId="0" applyFont="1" applyAlignment="1"/>
    <xf numFmtId="164" fontId="5" fillId="0" borderId="0" xfId="0" applyNumberFormat="1" applyFont="1" applyAlignment="1"/>
    <xf numFmtId="164" fontId="6" fillId="3" borderId="0" xfId="0" applyNumberFormat="1" applyFont="1" applyFill="1" applyAlignment="1"/>
    <xf numFmtId="164" fontId="0" fillId="0" borderId="0" xfId="0" applyNumberFormat="1" applyAlignment="1"/>
    <xf numFmtId="165" fontId="5" fillId="0" borderId="0" xfId="0" applyNumberFormat="1" applyFont="1" applyAlignment="1"/>
    <xf numFmtId="165" fontId="0" fillId="0" borderId="0" xfId="0" applyNumberFormat="1" applyAlignment="1"/>
    <xf numFmtId="166" fontId="5" fillId="0" borderId="0" xfId="0" applyNumberFormat="1" applyFont="1" applyAlignment="1"/>
    <xf numFmtId="166" fontId="0" fillId="0" borderId="0" xfId="0" applyNumberFormat="1" applyAlignment="1"/>
    <xf numFmtId="165" fontId="6" fillId="3" borderId="0" xfId="0" applyNumberFormat="1" applyFont="1" applyFill="1" applyAlignment="1"/>
    <xf numFmtId="165" fontId="4" fillId="0" borderId="0" xfId="0" applyNumberFormat="1" applyFont="1" applyAlignment="1"/>
    <xf numFmtId="165" fontId="7" fillId="0" borderId="0" xfId="0" applyNumberFormat="1" applyFont="1" applyAlignment="1"/>
    <xf numFmtId="165" fontId="8" fillId="0" borderId="0" xfId="0" applyNumberFormat="1" applyFont="1" applyAlignment="1"/>
    <xf numFmtId="165" fontId="4" fillId="0" borderId="1" xfId="0" applyNumberFormat="1" applyFont="1" applyBorder="1" applyAlignment="1"/>
    <xf numFmtId="0" fontId="5" fillId="0" borderId="0" xfId="0" applyFont="1" applyAlignment="1">
      <alignment indent="1"/>
    </xf>
    <xf numFmtId="0" fontId="4" fillId="0" borderId="0" xfId="0" applyFont="1" applyAlignment="1">
      <alignment indent="1"/>
    </xf>
    <xf numFmtId="165" fontId="2" fillId="0" borderId="0" xfId="0" applyNumberFormat="1" applyFont="1" applyAlignme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0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I26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M23" sqref="M23"/>
    </sheetView>
  </sheetViews>
  <sheetFormatPr defaultColWidth="8.7109375" defaultRowHeight="15" x14ac:dyDescent="0.25"/>
  <cols>
    <col min="1" max="1" width="43" style="2" bestFit="1" customWidth="1"/>
    <col min="2" max="9" width="13" style="2" customWidth="1"/>
  </cols>
  <sheetData>
    <row r="1" spans="1:9" ht="17.25" customHeight="1" x14ac:dyDescent="0.25">
      <c r="A1" s="21" t="s">
        <v>0</v>
      </c>
      <c r="B1" s="21"/>
      <c r="C1" s="21"/>
      <c r="D1" s="21"/>
      <c r="E1" s="21"/>
      <c r="F1" s="21"/>
      <c r="G1" s="21"/>
      <c r="H1" s="21"/>
      <c r="I1" s="21"/>
    </row>
    <row r="2" spans="1:9" ht="15" customHeight="1" x14ac:dyDescent="0.25">
      <c r="A2" s="22" t="s">
        <v>1</v>
      </c>
      <c r="B2" s="22"/>
      <c r="C2" s="22"/>
      <c r="D2" s="22"/>
      <c r="E2" s="22"/>
      <c r="F2" s="22"/>
      <c r="G2" s="22"/>
      <c r="H2" s="22"/>
      <c r="I2" s="22"/>
    </row>
    <row r="3" spans="1:9" ht="27.75" customHeight="1" x14ac:dyDescent="0.25">
      <c r="A3" s="1" t="s">
        <v>2</v>
      </c>
      <c r="B3" s="1"/>
      <c r="C3" s="1"/>
      <c r="D3" s="1"/>
      <c r="E3" s="1"/>
      <c r="F3" s="1"/>
      <c r="G3" s="1"/>
      <c r="H3" s="1"/>
      <c r="I3" s="1"/>
    </row>
    <row r="5" spans="1:9" ht="15" customHeight="1" x14ac:dyDescent="0.25"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  <c r="I5" s="3" t="s">
        <v>10</v>
      </c>
    </row>
    <row r="6" spans="1:9" ht="15" customHeight="1" x14ac:dyDescent="0.25">
      <c r="A6" s="4" t="s">
        <v>11</v>
      </c>
    </row>
    <row r="7" spans="1:9" ht="15" customHeight="1" x14ac:dyDescent="0.25">
      <c r="A7" s="5" t="s">
        <v>12</v>
      </c>
      <c r="C7" s="6">
        <f>'Income Statement'!C5/'Income Statement'!B5-1</f>
        <v>2.8310912392370824E-3</v>
      </c>
      <c r="D7" s="6">
        <f>'Income Statement'!D5/'Income Statement'!C5-1</f>
        <v>-9.8380125384525563E-2</v>
      </c>
      <c r="E7" s="7">
        <v>0.03</v>
      </c>
      <c r="F7" s="7">
        <v>0.03</v>
      </c>
      <c r="G7" s="7">
        <v>0.03</v>
      </c>
      <c r="H7" s="7">
        <v>0.03</v>
      </c>
      <c r="I7" s="7">
        <v>0.03</v>
      </c>
    </row>
    <row r="8" spans="1:9" ht="15" customHeight="1" x14ac:dyDescent="0.25">
      <c r="A8" s="5" t="s">
        <v>13</v>
      </c>
      <c r="B8" s="6">
        <f>'Income Statement'!B6/'Income Statement'!B5</f>
        <v>0.56475389030985801</v>
      </c>
      <c r="C8" s="6">
        <f>'Income Statement'!C6/'Income Statement'!C5</f>
        <v>0.55315213582025624</v>
      </c>
      <c r="D8" s="6">
        <f>'Income Statement'!D6/'Income Statement'!D5</f>
        <v>0.57265326394437366</v>
      </c>
      <c r="E8" s="6">
        <f t="shared" ref="E8:I14" si="0">AVERAGE($B8:$D8)</f>
        <v>0.56351976335816267</v>
      </c>
      <c r="F8" s="6">
        <f t="shared" si="0"/>
        <v>0.56351976335816267</v>
      </c>
      <c r="G8" s="6">
        <f t="shared" si="0"/>
        <v>0.56351976335816267</v>
      </c>
      <c r="H8" s="6">
        <f t="shared" si="0"/>
        <v>0.56351976335816267</v>
      </c>
      <c r="I8" s="6">
        <f t="shared" si="0"/>
        <v>0.56351976335816267</v>
      </c>
    </row>
    <row r="9" spans="1:9" ht="15" customHeight="1" x14ac:dyDescent="0.25">
      <c r="A9" s="5" t="s">
        <v>14</v>
      </c>
      <c r="B9" s="6">
        <f>'Income Statement'!B8/'Income Statement'!B5</f>
        <v>0.31975711189644063</v>
      </c>
      <c r="C9" s="6">
        <f>'Income Statement'!C8/'Income Statement'!C5</f>
        <v>0.3153498695533663</v>
      </c>
      <c r="D9" s="6">
        <f>'Income Statement'!D8/'Income Statement'!D5</f>
        <v>0.34740547193850008</v>
      </c>
      <c r="E9" s="8">
        <f t="shared" si="0"/>
        <v>0.32750415112943565</v>
      </c>
      <c r="F9" s="8">
        <f t="shared" si="0"/>
        <v>0.32750415112943565</v>
      </c>
      <c r="G9" s="8">
        <f t="shared" si="0"/>
        <v>0.32750415112943565</v>
      </c>
      <c r="H9" s="8">
        <f t="shared" si="0"/>
        <v>0.32750415112943565</v>
      </c>
      <c r="I9" s="8">
        <f t="shared" si="0"/>
        <v>0.32750415112943565</v>
      </c>
    </row>
    <row r="10" spans="1:9" ht="15" customHeight="1" x14ac:dyDescent="0.25">
      <c r="A10" s="5" t="s">
        <v>15</v>
      </c>
      <c r="B10" s="6">
        <f>'Supporting Schedules'!B8/'Income Statement'!B5</f>
        <v>1.3725911318507526E-2</v>
      </c>
      <c r="C10" s="6">
        <f>'Supporting Schedules'!C8/'Income Statement'!C5</f>
        <v>1.5497838869202913E-2</v>
      </c>
      <c r="D10" s="6">
        <f>'Supporting Schedules'!D8/'Income Statement'!D5</f>
        <v>1.6735407804098556E-2</v>
      </c>
      <c r="E10" s="8">
        <f t="shared" si="0"/>
        <v>1.5319719330602999E-2</v>
      </c>
      <c r="F10" s="8">
        <f t="shared" si="0"/>
        <v>1.5319719330602999E-2</v>
      </c>
      <c r="G10" s="8">
        <f t="shared" si="0"/>
        <v>1.5319719330602999E-2</v>
      </c>
      <c r="H10" s="8">
        <f t="shared" si="0"/>
        <v>1.5319719330602999E-2</v>
      </c>
      <c r="I10" s="8">
        <f t="shared" si="0"/>
        <v>1.5319719330602999E-2</v>
      </c>
    </row>
    <row r="11" spans="1:9" ht="15" customHeight="1" x14ac:dyDescent="0.25">
      <c r="A11" s="5" t="s">
        <v>16</v>
      </c>
      <c r="B11" s="6">
        <f>'Supporting Schedules'!B7/'Income Statement'!B5</f>
        <v>1.8919499384969833E-2</v>
      </c>
      <c r="C11" s="6">
        <f>'Supporting Schedules'!C7/'Income Statement'!C5</f>
        <v>1.5809353218332621E-2</v>
      </c>
      <c r="D11" s="6">
        <f>'Supporting Schedules'!D7/'Income Statement'!D5</f>
        <v>9.2854520719514565E-3</v>
      </c>
      <c r="E11" s="8">
        <f t="shared" si="0"/>
        <v>1.4671434891751304E-2</v>
      </c>
      <c r="F11" s="8">
        <f t="shared" si="0"/>
        <v>1.4671434891751304E-2</v>
      </c>
      <c r="G11" s="8">
        <f t="shared" si="0"/>
        <v>1.4671434891751304E-2</v>
      </c>
      <c r="H11" s="8">
        <f t="shared" si="0"/>
        <v>1.4671434891751304E-2</v>
      </c>
      <c r="I11" s="8">
        <f t="shared" si="0"/>
        <v>1.4671434891751304E-2</v>
      </c>
    </row>
    <row r="12" spans="1:9" ht="15" customHeight="1" x14ac:dyDescent="0.25">
      <c r="A12" s="5" t="s">
        <v>17</v>
      </c>
      <c r="B12" s="9">
        <f>'Income Statement'!B10</f>
        <v>286</v>
      </c>
      <c r="C12" s="9">
        <f>'Income Statement'!C10</f>
        <v>-51</v>
      </c>
      <c r="D12" s="9">
        <f>'Income Statement'!D10</f>
        <v>183</v>
      </c>
      <c r="E12" s="10">
        <f t="shared" si="0"/>
        <v>139.33333333333334</v>
      </c>
      <c r="F12" s="10">
        <f t="shared" si="0"/>
        <v>139.33333333333334</v>
      </c>
      <c r="G12" s="10">
        <f t="shared" si="0"/>
        <v>139.33333333333334</v>
      </c>
      <c r="H12" s="10">
        <f t="shared" si="0"/>
        <v>139.33333333333334</v>
      </c>
      <c r="I12" s="10">
        <f t="shared" si="0"/>
        <v>139.33333333333334</v>
      </c>
    </row>
    <row r="13" spans="1:9" ht="15" customHeight="1" x14ac:dyDescent="0.25">
      <c r="A13" s="5" t="s">
        <v>18</v>
      </c>
      <c r="B13" s="6">
        <f>'Income Statement'!B12/'Income Statement'!B11</f>
        <v>0.18238993710691823</v>
      </c>
      <c r="C13" s="6">
        <f>'Income Statement'!C12/'Income Statement'!C11</f>
        <v>0.14963449201849918</v>
      </c>
      <c r="D13" s="6">
        <f>'Income Statement'!D12/'Income Statement'!D11</f>
        <v>0.17142857142857143</v>
      </c>
      <c r="E13" s="8">
        <f t="shared" si="0"/>
        <v>0.16781766685132959</v>
      </c>
      <c r="F13" s="8">
        <f t="shared" si="0"/>
        <v>0.16781766685132959</v>
      </c>
      <c r="G13" s="8">
        <f t="shared" si="0"/>
        <v>0.16781766685132959</v>
      </c>
      <c r="H13" s="8">
        <f t="shared" si="0"/>
        <v>0.16781766685132959</v>
      </c>
      <c r="I13" s="8">
        <f t="shared" si="0"/>
        <v>0.16781766685132959</v>
      </c>
    </row>
    <row r="14" spans="1:9" ht="15" customHeight="1" x14ac:dyDescent="0.25">
      <c r="A14" s="5" t="s">
        <v>19</v>
      </c>
      <c r="B14" s="9">
        <f>'Cash Flow Statement'!B8</f>
        <v>755</v>
      </c>
      <c r="C14" s="9">
        <f>'Cash Flow Statement'!C8</f>
        <v>804</v>
      </c>
      <c r="D14" s="9">
        <f>'Cash Flow Statement'!D8</f>
        <v>709</v>
      </c>
      <c r="E14" s="10">
        <f t="shared" si="0"/>
        <v>756</v>
      </c>
      <c r="F14" s="10">
        <f t="shared" si="0"/>
        <v>756</v>
      </c>
      <c r="G14" s="10">
        <f t="shared" si="0"/>
        <v>756</v>
      </c>
      <c r="H14" s="10">
        <f t="shared" si="0"/>
        <v>756</v>
      </c>
      <c r="I14" s="10">
        <f t="shared" si="0"/>
        <v>756</v>
      </c>
    </row>
    <row r="16" spans="1:9" ht="15" customHeight="1" x14ac:dyDescent="0.25">
      <c r="A16" s="4" t="s">
        <v>20</v>
      </c>
    </row>
    <row r="17" spans="1:9" ht="15" customHeight="1" x14ac:dyDescent="0.25">
      <c r="A17" s="5" t="s">
        <v>121</v>
      </c>
      <c r="B17" s="11">
        <f>'Balance Sheet'!B8/'Income Statement'!B5*365</f>
        <v>29.439736806138587</v>
      </c>
      <c r="C17" s="11">
        <f>'Balance Sheet'!C8/'Income Statement'!C5*365</f>
        <v>31.460126163311397</v>
      </c>
      <c r="D17" s="11">
        <f>'Balance Sheet'!D8/'Income Statement'!D5*365</f>
        <v>37.178626184974839</v>
      </c>
      <c r="E17" s="12">
        <f t="shared" ref="E17:I19" si="1">AVERAGE($B17:$D17)</f>
        <v>32.69282971814161</v>
      </c>
      <c r="F17" s="12">
        <f t="shared" si="1"/>
        <v>32.69282971814161</v>
      </c>
      <c r="G17" s="12">
        <f t="shared" si="1"/>
        <v>32.69282971814161</v>
      </c>
      <c r="H17" s="12">
        <f t="shared" si="1"/>
        <v>32.69282971814161</v>
      </c>
      <c r="I17" s="12">
        <f t="shared" si="1"/>
        <v>32.69282971814161</v>
      </c>
    </row>
    <row r="18" spans="1:9" ht="15" customHeight="1" x14ac:dyDescent="0.25">
      <c r="A18" s="5" t="s">
        <v>122</v>
      </c>
      <c r="B18" s="11">
        <f>'Balance Sheet'!B9/'Income Statement'!B6*365</f>
        <v>106.67968885047536</v>
      </c>
      <c r="C18" s="11">
        <f>'Balance Sheet'!C9/'Income Statement'!C6*365</f>
        <v>96.597620639892995</v>
      </c>
      <c r="D18" s="11">
        <f>'Balance Sheet'!D9/'Income Statement'!D6*365</f>
        <v>103.07647347185038</v>
      </c>
      <c r="E18" s="12">
        <f t="shared" si="1"/>
        <v>102.1179276540729</v>
      </c>
      <c r="F18" s="12">
        <f t="shared" si="1"/>
        <v>102.1179276540729</v>
      </c>
      <c r="G18" s="12">
        <f t="shared" si="1"/>
        <v>102.1179276540729</v>
      </c>
      <c r="H18" s="12">
        <f t="shared" si="1"/>
        <v>102.1179276540729</v>
      </c>
      <c r="I18" s="12">
        <f t="shared" si="1"/>
        <v>102.1179276540729</v>
      </c>
    </row>
    <row r="19" spans="1:9" ht="15" customHeight="1" x14ac:dyDescent="0.25">
      <c r="A19" s="5" t="s">
        <v>123</v>
      </c>
      <c r="B19" s="11">
        <f>'Balance Sheet'!B22/'Income Statement'!B6*365</f>
        <v>36.115125324114082</v>
      </c>
      <c r="C19" s="11">
        <f>'Balance Sheet'!C22/'Income Statement'!C6*365</f>
        <v>36.627186653056917</v>
      </c>
      <c r="D19" s="11">
        <f>'Balance Sheet'!D22/'Income Statement'!D6*365</f>
        <v>47.883969983785214</v>
      </c>
      <c r="E19" s="12">
        <f t="shared" si="1"/>
        <v>40.208760653652071</v>
      </c>
      <c r="F19" s="12">
        <f t="shared" si="1"/>
        <v>40.208760653652071</v>
      </c>
      <c r="G19" s="12">
        <f t="shared" si="1"/>
        <v>40.208760653652071</v>
      </c>
      <c r="H19" s="12">
        <f t="shared" si="1"/>
        <v>40.208760653652071</v>
      </c>
      <c r="I19" s="12">
        <f t="shared" si="1"/>
        <v>40.208760653652071</v>
      </c>
    </row>
    <row r="21" spans="1:9" ht="15" customHeight="1" x14ac:dyDescent="0.25">
      <c r="A21" s="4" t="s">
        <v>21</v>
      </c>
    </row>
    <row r="22" spans="1:9" ht="15" customHeight="1" x14ac:dyDescent="0.25">
      <c r="A22" s="5" t="s">
        <v>22</v>
      </c>
      <c r="B22" s="6">
        <f>-'Cash Flow Statement'!B23/'Income Statement'!B13</f>
        <v>0.39684418145956607</v>
      </c>
      <c r="C22" s="6">
        <f>-'Cash Flow Statement'!C23/'Income Statement'!C13</f>
        <v>0.38052631578947366</v>
      </c>
      <c r="D22" s="6">
        <f>-'Cash Flow Statement'!D23/'Income Statement'!D13</f>
        <v>0.71450761105933525</v>
      </c>
      <c r="E22" s="7">
        <v>0.4</v>
      </c>
      <c r="F22" s="7">
        <v>0.4</v>
      </c>
      <c r="G22" s="7">
        <v>0.4</v>
      </c>
      <c r="H22" s="7">
        <v>0.4</v>
      </c>
      <c r="I22" s="7">
        <v>0.4</v>
      </c>
    </row>
    <row r="23" spans="1:9" ht="15" customHeight="1" x14ac:dyDescent="0.25">
      <c r="A23" s="5" t="s">
        <v>23</v>
      </c>
      <c r="B23" s="9">
        <f>-'Cash Flow Statement'!B24</f>
        <v>5480</v>
      </c>
      <c r="C23" s="9">
        <f>-'Cash Flow Statement'!C24</f>
        <v>4250</v>
      </c>
      <c r="D23" s="9">
        <f>-'Cash Flow Statement'!D24</f>
        <v>2985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</row>
    <row r="24" spans="1:9" ht="15" customHeight="1" x14ac:dyDescent="0.25">
      <c r="A24" s="5" t="s">
        <v>24</v>
      </c>
      <c r="B24" s="9">
        <f>'Cash Flow Statement'!B22</f>
        <v>-504</v>
      </c>
      <c r="C24" s="9">
        <f>'Cash Flow Statement'!C22</f>
        <v>0</v>
      </c>
      <c r="D24" s="9">
        <f>'Cash Flow Statement'!D22</f>
        <v>-1000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</row>
    <row r="26" spans="1:9" ht="36" customHeight="1" x14ac:dyDescent="0.25">
      <c r="A26" s="1" t="s">
        <v>25</v>
      </c>
      <c r="B26" s="1"/>
      <c r="C26" s="1"/>
      <c r="D26" s="1"/>
      <c r="E26" s="1"/>
      <c r="F26" s="1"/>
      <c r="G26" s="1"/>
      <c r="H26" s="1"/>
      <c r="I26" s="1"/>
    </row>
  </sheetData>
  <mergeCells count="4">
    <mergeCell ref="A3:I3"/>
    <mergeCell ref="A26:I26"/>
    <mergeCell ref="A1:I1"/>
    <mergeCell ref="A2:I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5B6"/>
  </sheetPr>
  <dimension ref="A1:I20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H5" sqref="H5"/>
    </sheetView>
  </sheetViews>
  <sheetFormatPr defaultColWidth="8.7109375" defaultRowHeight="15" x14ac:dyDescent="0.25"/>
  <cols>
    <col min="1" max="1" width="42" style="2" customWidth="1"/>
    <col min="2" max="9" width="13" style="2" customWidth="1"/>
  </cols>
  <sheetData>
    <row r="1" spans="1:9" ht="17.25" customHeight="1" x14ac:dyDescent="0.25">
      <c r="A1" s="21" t="s">
        <v>26</v>
      </c>
      <c r="B1" s="21"/>
      <c r="C1" s="21"/>
      <c r="D1" s="21"/>
      <c r="E1" s="21"/>
      <c r="F1" s="21"/>
      <c r="G1" s="21"/>
      <c r="H1" s="21"/>
      <c r="I1" s="21"/>
    </row>
    <row r="2" spans="1:9" ht="15" customHeight="1" x14ac:dyDescent="0.25">
      <c r="A2" s="22" t="s">
        <v>27</v>
      </c>
      <c r="B2" s="22"/>
      <c r="C2" s="22"/>
      <c r="D2" s="22"/>
      <c r="E2" s="22"/>
      <c r="F2" s="22"/>
      <c r="G2" s="22"/>
      <c r="H2" s="22"/>
      <c r="I2" s="22"/>
    </row>
    <row r="4" spans="1:9" ht="15" customHeight="1" x14ac:dyDescent="0.25"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ht="15" customHeight="1" x14ac:dyDescent="0.25">
      <c r="A5" s="4" t="s">
        <v>28</v>
      </c>
      <c r="B5" s="14">
        <v>51217</v>
      </c>
      <c r="C5" s="14">
        <v>51362</v>
      </c>
      <c r="D5" s="14">
        <v>46309</v>
      </c>
      <c r="E5" s="10">
        <f>D5*(1+Assumptions!E7)</f>
        <v>47698.270000000004</v>
      </c>
      <c r="F5" s="10">
        <f>E5*(1+Assumptions!F7)</f>
        <v>49129.218100000006</v>
      </c>
      <c r="G5" s="10">
        <f>F5*(1+Assumptions!G7)</f>
        <v>50603.094643000004</v>
      </c>
      <c r="H5" s="10">
        <f>G5*(1+Assumptions!H7)</f>
        <v>52121.187482290006</v>
      </c>
      <c r="I5" s="10">
        <f>H5*(1+Assumptions!I7)</f>
        <v>53684.823106758711</v>
      </c>
    </row>
    <row r="6" spans="1:9" ht="15" customHeight="1" x14ac:dyDescent="0.25">
      <c r="A6" s="5" t="s">
        <v>29</v>
      </c>
      <c r="B6" s="15">
        <v>28925</v>
      </c>
      <c r="C6" s="15">
        <v>28411</v>
      </c>
      <c r="D6" s="15">
        <v>26519</v>
      </c>
      <c r="E6" s="10">
        <f>E5*Assumptions!E8</f>
        <v>26878.917822993753</v>
      </c>
      <c r="F6" s="10">
        <f>F5*Assumptions!F8</f>
        <v>27685.285357683566</v>
      </c>
      <c r="G6" s="10">
        <f>G5*Assumptions!G8</f>
        <v>28515.84391841407</v>
      </c>
      <c r="H6" s="10">
        <f>H5*Assumptions!H8</f>
        <v>29371.319235966494</v>
      </c>
      <c r="I6" s="10">
        <f>I5*Assumptions!I8</f>
        <v>30252.458813045494</v>
      </c>
    </row>
    <row r="7" spans="1:9" ht="15" customHeight="1" x14ac:dyDescent="0.25">
      <c r="A7" s="4" t="s">
        <v>30</v>
      </c>
      <c r="B7" s="14">
        <f t="shared" ref="B7:I7" si="0">B5-B6</f>
        <v>22292</v>
      </c>
      <c r="C7" s="14">
        <f t="shared" si="0"/>
        <v>22951</v>
      </c>
      <c r="D7" s="14">
        <f t="shared" si="0"/>
        <v>19790</v>
      </c>
      <c r="E7" s="14">
        <f t="shared" si="0"/>
        <v>20819.352177006251</v>
      </c>
      <c r="F7" s="14">
        <f t="shared" si="0"/>
        <v>21443.93274231644</v>
      </c>
      <c r="G7" s="14">
        <f t="shared" si="0"/>
        <v>22087.250724585934</v>
      </c>
      <c r="H7" s="14">
        <f t="shared" si="0"/>
        <v>22749.868246323513</v>
      </c>
      <c r="I7" s="14">
        <f t="shared" si="0"/>
        <v>23432.364293713217</v>
      </c>
    </row>
    <row r="8" spans="1:9" ht="15" customHeight="1" x14ac:dyDescent="0.25">
      <c r="A8" s="5" t="s">
        <v>31</v>
      </c>
      <c r="B8" s="15">
        <v>16377</v>
      </c>
      <c r="C8" s="15">
        <v>16197</v>
      </c>
      <c r="D8" s="15">
        <v>16088</v>
      </c>
      <c r="E8" s="10">
        <f>E5*Assumptions!E9</f>
        <v>15621.381426692627</v>
      </c>
      <c r="F8" s="10">
        <f>F5*Assumptions!F9</f>
        <v>16090.022869493407</v>
      </c>
      <c r="G8" s="10">
        <f>G5*Assumptions!G9</f>
        <v>16572.72355557821</v>
      </c>
      <c r="H8" s="10">
        <f>H5*Assumptions!H9</f>
        <v>17069.905262245557</v>
      </c>
      <c r="I8" s="10">
        <f>I5*Assumptions!I9</f>
        <v>17582.002420112924</v>
      </c>
    </row>
    <row r="9" spans="1:9" ht="15" customHeight="1" x14ac:dyDescent="0.25">
      <c r="A9" s="4" t="s">
        <v>32</v>
      </c>
      <c r="B9" s="14">
        <f t="shared" ref="B9:I9" si="1">B7-B8</f>
        <v>5915</v>
      </c>
      <c r="C9" s="14">
        <f t="shared" si="1"/>
        <v>6754</v>
      </c>
      <c r="D9" s="14">
        <f t="shared" si="1"/>
        <v>3702</v>
      </c>
      <c r="E9" s="14">
        <f t="shared" si="1"/>
        <v>5197.9707503136233</v>
      </c>
      <c r="F9" s="14">
        <f t="shared" si="1"/>
        <v>5353.9098728230329</v>
      </c>
      <c r="G9" s="14">
        <f t="shared" si="1"/>
        <v>5514.5271690077243</v>
      </c>
      <c r="H9" s="14">
        <f t="shared" si="1"/>
        <v>5679.9629840779562</v>
      </c>
      <c r="I9" s="14">
        <f t="shared" si="1"/>
        <v>5850.3618736002936</v>
      </c>
    </row>
    <row r="10" spans="1:9" ht="15" customHeight="1" x14ac:dyDescent="0.25">
      <c r="A10" s="5" t="s">
        <v>33</v>
      </c>
      <c r="B10" s="15">
        <v>286</v>
      </c>
      <c r="C10" s="15">
        <v>-51</v>
      </c>
      <c r="D10" s="15">
        <v>183</v>
      </c>
      <c r="E10" s="16">
        <f>Assumptions!E12</f>
        <v>139.33333333333334</v>
      </c>
      <c r="F10" s="16">
        <f>Assumptions!F12</f>
        <v>139.33333333333334</v>
      </c>
      <c r="G10" s="16">
        <f>Assumptions!G12</f>
        <v>139.33333333333334</v>
      </c>
      <c r="H10" s="16">
        <f>Assumptions!H12</f>
        <v>139.33333333333334</v>
      </c>
      <c r="I10" s="16">
        <f>Assumptions!I12</f>
        <v>139.33333333333334</v>
      </c>
    </row>
    <row r="11" spans="1:9" ht="15" customHeight="1" x14ac:dyDescent="0.25">
      <c r="A11" s="4" t="s">
        <v>34</v>
      </c>
      <c r="B11" s="14">
        <f t="shared" ref="B11:I11" si="2">B9+B10</f>
        <v>6201</v>
      </c>
      <c r="C11" s="14">
        <f t="shared" si="2"/>
        <v>6703</v>
      </c>
      <c r="D11" s="14">
        <f t="shared" si="2"/>
        <v>3885</v>
      </c>
      <c r="E11" s="14">
        <f t="shared" si="2"/>
        <v>5337.3040836469563</v>
      </c>
      <c r="F11" s="14">
        <f t="shared" si="2"/>
        <v>5493.2432061563659</v>
      </c>
      <c r="G11" s="14">
        <f t="shared" si="2"/>
        <v>5653.8605023410573</v>
      </c>
      <c r="H11" s="14">
        <f t="shared" si="2"/>
        <v>5819.2963174112892</v>
      </c>
      <c r="I11" s="14">
        <f t="shared" si="2"/>
        <v>5989.6952069336267</v>
      </c>
    </row>
    <row r="12" spans="1:9" ht="15" customHeight="1" x14ac:dyDescent="0.25">
      <c r="A12" s="5" t="s">
        <v>35</v>
      </c>
      <c r="B12" s="15">
        <v>1131</v>
      </c>
      <c r="C12" s="15">
        <v>1003</v>
      </c>
      <c r="D12" s="15">
        <v>666</v>
      </c>
      <c r="E12" s="10">
        <f>E11*Assumptions!E13</f>
        <v>895.69391859370592</v>
      </c>
      <c r="F12" s="10">
        <f>F11*Assumptions!F13</f>
        <v>921.86325830407861</v>
      </c>
      <c r="G12" s="10">
        <f>G11*Assumptions!G13</f>
        <v>948.81767820576249</v>
      </c>
      <c r="H12" s="10">
        <f>H11*Assumptions!H13</f>
        <v>976.58073070449689</v>
      </c>
      <c r="I12" s="10">
        <f>I11*Assumptions!I13</f>
        <v>1005.176674778193</v>
      </c>
    </row>
    <row r="13" spans="1:9" ht="15" customHeight="1" x14ac:dyDescent="0.25">
      <c r="A13" s="4" t="s">
        <v>36</v>
      </c>
      <c r="B13" s="17">
        <f t="shared" ref="B13:I13" si="3">B11-B12</f>
        <v>5070</v>
      </c>
      <c r="C13" s="17">
        <f t="shared" si="3"/>
        <v>5700</v>
      </c>
      <c r="D13" s="17">
        <f t="shared" si="3"/>
        <v>3219</v>
      </c>
      <c r="E13" s="17">
        <f t="shared" si="3"/>
        <v>4441.6101650532501</v>
      </c>
      <c r="F13" s="17">
        <f t="shared" si="3"/>
        <v>4571.3799478522869</v>
      </c>
      <c r="G13" s="17">
        <f t="shared" si="3"/>
        <v>4705.0428241352947</v>
      </c>
      <c r="H13" s="17">
        <f t="shared" si="3"/>
        <v>4842.7155867067922</v>
      </c>
      <c r="I13" s="17">
        <f t="shared" si="3"/>
        <v>4984.5185321554336</v>
      </c>
    </row>
    <row r="15" spans="1:9" ht="15" customHeight="1" x14ac:dyDescent="0.25">
      <c r="A15" s="18" t="s">
        <v>37</v>
      </c>
      <c r="B15" s="8">
        <f t="shared" ref="B15:I15" si="4">B7/B5</f>
        <v>0.43524610969014194</v>
      </c>
      <c r="C15" s="8">
        <f t="shared" si="4"/>
        <v>0.44684786417974376</v>
      </c>
      <c r="D15" s="8">
        <f t="shared" si="4"/>
        <v>0.42734673605562634</v>
      </c>
      <c r="E15" s="8">
        <f t="shared" si="4"/>
        <v>0.43648023664183733</v>
      </c>
      <c r="F15" s="8">
        <f t="shared" si="4"/>
        <v>0.43648023664183733</v>
      </c>
      <c r="G15" s="8">
        <f t="shared" si="4"/>
        <v>0.43648023664183738</v>
      </c>
      <c r="H15" s="8">
        <f t="shared" si="4"/>
        <v>0.43648023664183733</v>
      </c>
      <c r="I15" s="8">
        <f t="shared" si="4"/>
        <v>0.43648023664183727</v>
      </c>
    </row>
    <row r="16" spans="1:9" ht="15" customHeight="1" x14ac:dyDescent="0.25">
      <c r="A16" s="18" t="s">
        <v>38</v>
      </c>
      <c r="B16" s="8">
        <f t="shared" ref="B16:I16" si="5">B9/B5</f>
        <v>0.11548899779370131</v>
      </c>
      <c r="C16" s="8">
        <f t="shared" si="5"/>
        <v>0.13149799462637748</v>
      </c>
      <c r="D16" s="8">
        <f t="shared" si="5"/>
        <v>7.9941264117126265E-2</v>
      </c>
      <c r="E16" s="8">
        <f t="shared" si="5"/>
        <v>0.10897608551240166</v>
      </c>
      <c r="F16" s="8">
        <f t="shared" si="5"/>
        <v>0.10897608551240168</v>
      </c>
      <c r="G16" s="8">
        <f t="shared" si="5"/>
        <v>0.10897608551240169</v>
      </c>
      <c r="H16" s="8">
        <f t="shared" si="5"/>
        <v>0.10897608551240169</v>
      </c>
      <c r="I16" s="8">
        <f t="shared" si="5"/>
        <v>0.10897608551240165</v>
      </c>
    </row>
    <row r="17" spans="1:9" ht="15" customHeight="1" x14ac:dyDescent="0.25">
      <c r="A17" s="18" t="s">
        <v>39</v>
      </c>
      <c r="B17" s="8">
        <f t="shared" ref="B17:I17" si="6">B13/B5</f>
        <v>9.8990569537458259E-2</v>
      </c>
      <c r="C17" s="8">
        <f t="shared" si="6"/>
        <v>0.11097698687745804</v>
      </c>
      <c r="D17" s="8">
        <f t="shared" si="6"/>
        <v>6.9511326092120324E-2</v>
      </c>
      <c r="E17" s="8">
        <f t="shared" si="6"/>
        <v>9.311889435514642E-2</v>
      </c>
      <c r="F17" s="8">
        <f t="shared" si="6"/>
        <v>9.3048090823417487E-2</v>
      </c>
      <c r="G17" s="8">
        <f t="shared" si="6"/>
        <v>9.297934953047679E-2</v>
      </c>
      <c r="H17" s="8">
        <f t="shared" si="6"/>
        <v>9.2912610411116855E-2</v>
      </c>
      <c r="I17" s="8">
        <f t="shared" si="6"/>
        <v>9.2847815149602345E-2</v>
      </c>
    </row>
    <row r="18" spans="1:9" ht="15" customHeight="1" x14ac:dyDescent="0.25">
      <c r="A18" s="18" t="s">
        <v>40</v>
      </c>
      <c r="C18" s="8">
        <f t="shared" ref="C18:I18" si="7">C5/B5-1</f>
        <v>2.8310912392370824E-3</v>
      </c>
      <c r="D18" s="8">
        <f t="shared" si="7"/>
        <v>-9.8380125384525563E-2</v>
      </c>
      <c r="E18" s="8">
        <f t="shared" si="7"/>
        <v>3.0000000000000027E-2</v>
      </c>
      <c r="F18" s="8">
        <f t="shared" si="7"/>
        <v>3.0000000000000027E-2</v>
      </c>
      <c r="G18" s="8">
        <f t="shared" si="7"/>
        <v>3.0000000000000027E-2</v>
      </c>
      <c r="H18" s="8">
        <f t="shared" si="7"/>
        <v>3.0000000000000027E-2</v>
      </c>
      <c r="I18" s="8">
        <f t="shared" si="7"/>
        <v>3.0000000000000027E-2</v>
      </c>
    </row>
    <row r="20" spans="1:9" ht="27.75" customHeight="1" x14ac:dyDescent="0.25">
      <c r="A20" s="1" t="s">
        <v>41</v>
      </c>
      <c r="B20" s="1"/>
      <c r="C20" s="1"/>
      <c r="D20" s="1"/>
      <c r="E20" s="1"/>
      <c r="F20" s="1"/>
      <c r="G20" s="1"/>
      <c r="H20" s="1"/>
      <c r="I20" s="1"/>
    </row>
  </sheetData>
  <mergeCells count="3">
    <mergeCell ref="A20:I20"/>
    <mergeCell ref="A1:I1"/>
    <mergeCell ref="A2:I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75B6"/>
  </sheetPr>
  <dimension ref="A1:I43"/>
  <sheetViews>
    <sheetView showGridLines="0" zoomScaleNormal="100" workbookViewId="0">
      <pane xSplit="1" ySplit="4" topLeftCell="B20" activePane="bottomRight" state="frozen"/>
      <selection pane="topRight" activeCell="B1" sqref="B1"/>
      <selection pane="bottomLeft" activeCell="A5" sqref="A5"/>
      <selection pane="bottomRight" activeCell="E22" sqref="E22"/>
    </sheetView>
  </sheetViews>
  <sheetFormatPr defaultColWidth="8.7109375" defaultRowHeight="15" x14ac:dyDescent="0.25"/>
  <cols>
    <col min="1" max="1" width="42" style="2" customWidth="1"/>
    <col min="2" max="9" width="13" style="2" customWidth="1"/>
  </cols>
  <sheetData>
    <row r="1" spans="1:9" ht="17.25" customHeight="1" x14ac:dyDescent="0.25">
      <c r="A1" s="21" t="s">
        <v>42</v>
      </c>
      <c r="B1" s="21"/>
      <c r="C1" s="21"/>
      <c r="D1" s="21"/>
      <c r="E1" s="21"/>
      <c r="F1" s="21"/>
      <c r="G1" s="21"/>
      <c r="H1" s="21"/>
      <c r="I1" s="21"/>
    </row>
    <row r="2" spans="1:9" ht="15" customHeight="1" x14ac:dyDescent="0.25">
      <c r="A2" s="22" t="s">
        <v>43</v>
      </c>
      <c r="B2" s="22"/>
      <c r="C2" s="22"/>
      <c r="D2" s="22"/>
      <c r="E2" s="22"/>
      <c r="F2" s="22"/>
      <c r="G2" s="22"/>
      <c r="H2" s="22"/>
      <c r="I2" s="22"/>
    </row>
    <row r="4" spans="1:9" ht="15" customHeight="1" x14ac:dyDescent="0.25"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ht="15" customHeight="1" x14ac:dyDescent="0.25">
      <c r="A5" s="4" t="s">
        <v>44</v>
      </c>
    </row>
    <row r="6" spans="1:9" ht="15" customHeight="1" x14ac:dyDescent="0.25">
      <c r="A6" s="18" t="s">
        <v>45</v>
      </c>
      <c r="B6" s="15">
        <v>7441</v>
      </c>
      <c r="C6" s="15">
        <v>9860</v>
      </c>
      <c r="D6" s="15">
        <v>7464</v>
      </c>
      <c r="E6" s="16">
        <f>'Cash Flow Statement'!E31</f>
        <v>10811.537922618711</v>
      </c>
      <c r="F6" s="16">
        <f>'Cash Flow Statement'!F31</f>
        <v>14077.275092238833</v>
      </c>
      <c r="G6" s="16">
        <f>'Cash Flow Statement'!G31</f>
        <v>17416.217263656021</v>
      </c>
      <c r="H6" s="16">
        <f>'Cash Flow Statement'!H31</f>
        <v>20830.560586924192</v>
      </c>
      <c r="I6" s="16">
        <f>'Cash Flow Statement'!I31</f>
        <v>24322.567096598865</v>
      </c>
    </row>
    <row r="7" spans="1:9" ht="15" customHeight="1" x14ac:dyDescent="0.25">
      <c r="A7" s="18" t="s">
        <v>46</v>
      </c>
      <c r="B7" s="15">
        <v>3234</v>
      </c>
      <c r="C7" s="15">
        <v>1722</v>
      </c>
      <c r="D7" s="15">
        <v>1687</v>
      </c>
      <c r="E7" s="10">
        <f>D7</f>
        <v>1687</v>
      </c>
      <c r="F7" s="10">
        <f>E7</f>
        <v>1687</v>
      </c>
      <c r="G7" s="10">
        <f>F7</f>
        <v>1687</v>
      </c>
      <c r="H7" s="10">
        <f>G7</f>
        <v>1687</v>
      </c>
      <c r="I7" s="10">
        <f>H7</f>
        <v>1687</v>
      </c>
    </row>
    <row r="8" spans="1:9" ht="15" customHeight="1" x14ac:dyDescent="0.25">
      <c r="A8" s="18" t="s">
        <v>47</v>
      </c>
      <c r="B8" s="15">
        <v>4131</v>
      </c>
      <c r="C8" s="15">
        <v>4427</v>
      </c>
      <c r="D8" s="15">
        <v>4717</v>
      </c>
      <c r="E8" s="16">
        <f>'Supporting Schedules'!E13</f>
        <v>4272.3052574245003</v>
      </c>
      <c r="F8" s="16">
        <f>'Supporting Schedules'!F13</f>
        <v>4400.474415147235</v>
      </c>
      <c r="G8" s="16">
        <f>'Supporting Schedules'!G13</f>
        <v>4532.4886476016518</v>
      </c>
      <c r="H8" s="16">
        <f>'Supporting Schedules'!H13</f>
        <v>4668.4633070297014</v>
      </c>
      <c r="I8" s="16">
        <f>'Supporting Schedules'!I13</f>
        <v>4808.5172062405936</v>
      </c>
    </row>
    <row r="9" spans="1:9" ht="15" customHeight="1" x14ac:dyDescent="0.25">
      <c r="A9" s="18" t="s">
        <v>48</v>
      </c>
      <c r="B9" s="15">
        <v>8454</v>
      </c>
      <c r="C9" s="15">
        <v>7519</v>
      </c>
      <c r="D9" s="15">
        <v>7489</v>
      </c>
      <c r="E9" s="16">
        <f>'Supporting Schedules'!E14</f>
        <v>7520.0531114198538</v>
      </c>
      <c r="F9" s="16">
        <f>'Supporting Schedules'!F14</f>
        <v>7745.654704762449</v>
      </c>
      <c r="G9" s="16">
        <f>'Supporting Schedules'!G14</f>
        <v>7978.0243459053227</v>
      </c>
      <c r="H9" s="16">
        <f>'Supporting Schedules'!H14</f>
        <v>8217.3650762824818</v>
      </c>
      <c r="I9" s="16">
        <f>'Supporting Schedules'!I14</f>
        <v>8463.8860285709579</v>
      </c>
    </row>
    <row r="10" spans="1:9" ht="15" customHeight="1" x14ac:dyDescent="0.25">
      <c r="A10" s="18" t="s">
        <v>49</v>
      </c>
      <c r="B10" s="15">
        <v>1942</v>
      </c>
      <c r="C10" s="15">
        <v>1854</v>
      </c>
      <c r="D10" s="15">
        <v>2005</v>
      </c>
      <c r="E10" s="10">
        <f>D10</f>
        <v>2005</v>
      </c>
      <c r="F10" s="10">
        <f>E10</f>
        <v>2005</v>
      </c>
      <c r="G10" s="10">
        <f>F10</f>
        <v>2005</v>
      </c>
      <c r="H10" s="10">
        <f>G10</f>
        <v>2005</v>
      </c>
      <c r="I10" s="10">
        <f>H10</f>
        <v>2005</v>
      </c>
    </row>
    <row r="11" spans="1:9" ht="15" customHeight="1" x14ac:dyDescent="0.25">
      <c r="A11" s="19" t="s">
        <v>50</v>
      </c>
      <c r="B11" s="14">
        <f t="shared" ref="B11:I11" si="0">SUM(B6:B10)</f>
        <v>25202</v>
      </c>
      <c r="C11" s="14">
        <f t="shared" si="0"/>
        <v>25382</v>
      </c>
      <c r="D11" s="14">
        <f t="shared" si="0"/>
        <v>23362</v>
      </c>
      <c r="E11" s="14">
        <f t="shared" si="0"/>
        <v>26295.896291463065</v>
      </c>
      <c r="F11" s="14">
        <f t="shared" si="0"/>
        <v>29915.404212148518</v>
      </c>
      <c r="G11" s="14">
        <f t="shared" si="0"/>
        <v>33618.730257162999</v>
      </c>
      <c r="H11" s="14">
        <f t="shared" si="0"/>
        <v>37408.388970236374</v>
      </c>
      <c r="I11" s="14">
        <f t="shared" si="0"/>
        <v>41286.970331410419</v>
      </c>
    </row>
    <row r="12" spans="1:9" ht="15" customHeight="1" x14ac:dyDescent="0.25">
      <c r="A12" s="18" t="s">
        <v>51</v>
      </c>
      <c r="B12" s="15">
        <v>5081</v>
      </c>
      <c r="C12" s="15">
        <v>5000</v>
      </c>
      <c r="D12" s="15">
        <v>4828</v>
      </c>
      <c r="E12" s="16">
        <f>'Supporting Schedules'!E10</f>
        <v>4797.0779537988537</v>
      </c>
      <c r="F12" s="16">
        <f>'Supporting Schedules'!F10</f>
        <v>4765.2282462116727</v>
      </c>
      <c r="G12" s="16">
        <f>'Supporting Schedules'!G10</f>
        <v>4732.4230473968764</v>
      </c>
      <c r="H12" s="16">
        <f>'Supporting Schedules'!H10</f>
        <v>4698.6336926176355</v>
      </c>
      <c r="I12" s="16">
        <f>'Supporting Schedules'!I10</f>
        <v>4663.8306571950179</v>
      </c>
    </row>
    <row r="13" spans="1:9" ht="15" customHeight="1" x14ac:dyDescent="0.25">
      <c r="A13" s="18" t="s">
        <v>52</v>
      </c>
      <c r="B13" s="15">
        <v>2923</v>
      </c>
      <c r="C13" s="15">
        <v>2718</v>
      </c>
      <c r="D13" s="15">
        <v>2712</v>
      </c>
      <c r="E13" s="10">
        <f t="shared" ref="E13:I16" si="1">D13</f>
        <v>2712</v>
      </c>
      <c r="F13" s="10">
        <f t="shared" si="1"/>
        <v>2712</v>
      </c>
      <c r="G13" s="10">
        <f t="shared" si="1"/>
        <v>2712</v>
      </c>
      <c r="H13" s="10">
        <f t="shared" si="1"/>
        <v>2712</v>
      </c>
      <c r="I13" s="10">
        <f t="shared" si="1"/>
        <v>2712</v>
      </c>
    </row>
    <row r="14" spans="1:9" ht="15" customHeight="1" x14ac:dyDescent="0.25">
      <c r="A14" s="18" t="s">
        <v>53</v>
      </c>
      <c r="B14" s="15">
        <v>274</v>
      </c>
      <c r="C14" s="15">
        <v>259</v>
      </c>
      <c r="D14" s="15">
        <v>259</v>
      </c>
      <c r="E14" s="10">
        <f t="shared" si="1"/>
        <v>259</v>
      </c>
      <c r="F14" s="10">
        <f t="shared" si="1"/>
        <v>259</v>
      </c>
      <c r="G14" s="10">
        <f t="shared" si="1"/>
        <v>259</v>
      </c>
      <c r="H14" s="10">
        <f t="shared" si="1"/>
        <v>259</v>
      </c>
      <c r="I14" s="10">
        <f t="shared" si="1"/>
        <v>259</v>
      </c>
    </row>
    <row r="15" spans="1:9" ht="15" customHeight="1" x14ac:dyDescent="0.25">
      <c r="A15" s="18" t="s">
        <v>54</v>
      </c>
      <c r="B15" s="15">
        <v>281</v>
      </c>
      <c r="C15" s="15">
        <v>240</v>
      </c>
      <c r="D15" s="15">
        <v>240</v>
      </c>
      <c r="E15" s="10">
        <f t="shared" si="1"/>
        <v>240</v>
      </c>
      <c r="F15" s="10">
        <f t="shared" si="1"/>
        <v>240</v>
      </c>
      <c r="G15" s="10">
        <f t="shared" si="1"/>
        <v>240</v>
      </c>
      <c r="H15" s="10">
        <f t="shared" si="1"/>
        <v>240</v>
      </c>
      <c r="I15" s="10">
        <f t="shared" si="1"/>
        <v>240</v>
      </c>
    </row>
    <row r="16" spans="1:9" ht="15" customHeight="1" x14ac:dyDescent="0.25">
      <c r="A16" s="18" t="s">
        <v>55</v>
      </c>
      <c r="B16" s="15">
        <v>3770</v>
      </c>
      <c r="C16" s="15">
        <v>4511</v>
      </c>
      <c r="D16" s="15">
        <v>5178</v>
      </c>
      <c r="E16" s="10">
        <f t="shared" si="1"/>
        <v>5178</v>
      </c>
      <c r="F16" s="10">
        <f t="shared" si="1"/>
        <v>5178</v>
      </c>
      <c r="G16" s="10">
        <f t="shared" si="1"/>
        <v>5178</v>
      </c>
      <c r="H16" s="10">
        <f t="shared" si="1"/>
        <v>5178</v>
      </c>
      <c r="I16" s="10">
        <f t="shared" si="1"/>
        <v>5178</v>
      </c>
    </row>
    <row r="17" spans="1:9" ht="15" customHeight="1" x14ac:dyDescent="0.25">
      <c r="A17" s="4" t="s">
        <v>56</v>
      </c>
      <c r="B17" s="17">
        <f t="shared" ref="B17:I17" si="2">B11+B12+B13+B14+B15+B16</f>
        <v>37531</v>
      </c>
      <c r="C17" s="17">
        <f t="shared" si="2"/>
        <v>38110</v>
      </c>
      <c r="D17" s="17">
        <f t="shared" si="2"/>
        <v>36579</v>
      </c>
      <c r="E17" s="17">
        <f t="shared" si="2"/>
        <v>39481.974245261918</v>
      </c>
      <c r="F17" s="17">
        <f t="shared" si="2"/>
        <v>43069.632458360189</v>
      </c>
      <c r="G17" s="17">
        <f t="shared" si="2"/>
        <v>46740.153304559877</v>
      </c>
      <c r="H17" s="17">
        <f t="shared" si="2"/>
        <v>50496.022662854011</v>
      </c>
      <c r="I17" s="17">
        <f t="shared" si="2"/>
        <v>54339.800988605435</v>
      </c>
    </row>
    <row r="19" spans="1:9" ht="15" customHeight="1" x14ac:dyDescent="0.25">
      <c r="A19" s="4" t="s">
        <v>57</v>
      </c>
    </row>
    <row r="20" spans="1:9" ht="15" customHeight="1" x14ac:dyDescent="0.25">
      <c r="A20" s="18" t="s">
        <v>58</v>
      </c>
      <c r="B20" s="15">
        <v>0</v>
      </c>
      <c r="C20" s="15">
        <v>1000</v>
      </c>
      <c r="D20" s="15">
        <v>0</v>
      </c>
      <c r="E20" s="10">
        <f t="shared" ref="E20:I21" si="3">D20</f>
        <v>0</v>
      </c>
      <c r="F20" s="10">
        <f t="shared" si="3"/>
        <v>0</v>
      </c>
      <c r="G20" s="10">
        <f t="shared" si="3"/>
        <v>0</v>
      </c>
      <c r="H20" s="10">
        <f t="shared" si="3"/>
        <v>0</v>
      </c>
      <c r="I20" s="10">
        <f t="shared" si="3"/>
        <v>0</v>
      </c>
    </row>
    <row r="21" spans="1:9" ht="15" customHeight="1" x14ac:dyDescent="0.25">
      <c r="A21" s="18" t="s">
        <v>59</v>
      </c>
      <c r="B21" s="15">
        <v>6</v>
      </c>
      <c r="C21" s="15">
        <v>6</v>
      </c>
      <c r="D21" s="15">
        <v>5</v>
      </c>
      <c r="E21" s="10">
        <f t="shared" si="3"/>
        <v>5</v>
      </c>
      <c r="F21" s="10">
        <f t="shared" si="3"/>
        <v>5</v>
      </c>
      <c r="G21" s="10">
        <f t="shared" si="3"/>
        <v>5</v>
      </c>
      <c r="H21" s="10">
        <f t="shared" si="3"/>
        <v>5</v>
      </c>
      <c r="I21" s="10">
        <f t="shared" si="3"/>
        <v>5</v>
      </c>
    </row>
    <row r="22" spans="1:9" ht="15" customHeight="1" x14ac:dyDescent="0.25">
      <c r="A22" s="18" t="s">
        <v>60</v>
      </c>
      <c r="B22" s="15">
        <v>2862</v>
      </c>
      <c r="C22" s="15">
        <v>2851</v>
      </c>
      <c r="D22" s="15">
        <v>3479</v>
      </c>
      <c r="E22" s="16">
        <f>'Supporting Schedules'!E15</f>
        <v>2961.0081462299686</v>
      </c>
      <c r="F22" s="16">
        <f>'Supporting Schedules'!F15</f>
        <v>3049.8383906168679</v>
      </c>
      <c r="G22" s="16">
        <f>'Supporting Schedules'!G15</f>
        <v>3141.3335423353733</v>
      </c>
      <c r="H22" s="16">
        <f>'Supporting Schedules'!H15</f>
        <v>3235.5735486054346</v>
      </c>
      <c r="I22" s="16">
        <f>'Supporting Schedules'!I15</f>
        <v>3332.6407550635986</v>
      </c>
    </row>
    <row r="23" spans="1:9" ht="15" customHeight="1" x14ac:dyDescent="0.25">
      <c r="A23" s="18" t="s">
        <v>61</v>
      </c>
      <c r="B23" s="15">
        <v>425</v>
      </c>
      <c r="C23" s="15">
        <v>477</v>
      </c>
      <c r="D23" s="15">
        <v>502</v>
      </c>
      <c r="E23" s="10">
        <f t="shared" ref="E23:I25" si="4">D23</f>
        <v>502</v>
      </c>
      <c r="F23" s="10">
        <f t="shared" si="4"/>
        <v>502</v>
      </c>
      <c r="G23" s="10">
        <f t="shared" si="4"/>
        <v>502</v>
      </c>
      <c r="H23" s="10">
        <f t="shared" si="4"/>
        <v>502</v>
      </c>
      <c r="I23" s="10">
        <f t="shared" si="4"/>
        <v>502</v>
      </c>
    </row>
    <row r="24" spans="1:9" ht="15" customHeight="1" x14ac:dyDescent="0.25">
      <c r="A24" s="18" t="s">
        <v>62</v>
      </c>
      <c r="B24" s="15">
        <v>5723</v>
      </c>
      <c r="C24" s="15">
        <v>5725</v>
      </c>
      <c r="D24" s="15">
        <v>5911</v>
      </c>
      <c r="E24" s="10">
        <f t="shared" si="4"/>
        <v>5911</v>
      </c>
      <c r="F24" s="10">
        <f t="shared" si="4"/>
        <v>5911</v>
      </c>
      <c r="G24" s="10">
        <f t="shared" si="4"/>
        <v>5911</v>
      </c>
      <c r="H24" s="10">
        <f t="shared" si="4"/>
        <v>5911</v>
      </c>
      <c r="I24" s="10">
        <f t="shared" si="4"/>
        <v>5911</v>
      </c>
    </row>
    <row r="25" spans="1:9" ht="15" customHeight="1" x14ac:dyDescent="0.25">
      <c r="A25" s="18" t="s">
        <v>63</v>
      </c>
      <c r="B25" s="15">
        <v>240</v>
      </c>
      <c r="C25" s="15">
        <v>534</v>
      </c>
      <c r="D25" s="15">
        <v>669</v>
      </c>
      <c r="E25" s="10">
        <f t="shared" si="4"/>
        <v>669</v>
      </c>
      <c r="F25" s="10">
        <f t="shared" si="4"/>
        <v>669</v>
      </c>
      <c r="G25" s="10">
        <f t="shared" si="4"/>
        <v>669</v>
      </c>
      <c r="H25" s="10">
        <f t="shared" si="4"/>
        <v>669</v>
      </c>
      <c r="I25" s="10">
        <f t="shared" si="4"/>
        <v>669</v>
      </c>
    </row>
    <row r="26" spans="1:9" ht="15" customHeight="1" x14ac:dyDescent="0.25">
      <c r="A26" s="19" t="s">
        <v>64</v>
      </c>
      <c r="B26" s="14">
        <f t="shared" ref="B26:I26" si="5">SUM(B20:B25)</f>
        <v>9256</v>
      </c>
      <c r="C26" s="14">
        <f t="shared" si="5"/>
        <v>10593</v>
      </c>
      <c r="D26" s="14">
        <f t="shared" si="5"/>
        <v>10566</v>
      </c>
      <c r="E26" s="14">
        <f t="shared" si="5"/>
        <v>10048.008146229968</v>
      </c>
      <c r="F26" s="14">
        <f t="shared" si="5"/>
        <v>10136.838390616867</v>
      </c>
      <c r="G26" s="14">
        <f t="shared" si="5"/>
        <v>10228.333542335373</v>
      </c>
      <c r="H26" s="14">
        <f t="shared" si="5"/>
        <v>10322.573548605435</v>
      </c>
      <c r="I26" s="14">
        <f t="shared" si="5"/>
        <v>10419.640755063599</v>
      </c>
    </row>
    <row r="27" spans="1:9" ht="15" customHeight="1" x14ac:dyDescent="0.25">
      <c r="A27" s="18" t="s">
        <v>65</v>
      </c>
      <c r="B27" s="15">
        <v>8927</v>
      </c>
      <c r="C27" s="15">
        <v>7903</v>
      </c>
      <c r="D27" s="15">
        <v>7961</v>
      </c>
      <c r="E27" s="16">
        <f>'Supporting Schedules'!E20</f>
        <v>7961</v>
      </c>
      <c r="F27" s="16">
        <f>'Supporting Schedules'!F20</f>
        <v>7961</v>
      </c>
      <c r="G27" s="16">
        <f>'Supporting Schedules'!G20</f>
        <v>7961</v>
      </c>
      <c r="H27" s="16">
        <f>'Supporting Schedules'!H20</f>
        <v>7961</v>
      </c>
      <c r="I27" s="16">
        <f>'Supporting Schedules'!I20</f>
        <v>7961</v>
      </c>
    </row>
    <row r="28" spans="1:9" ht="15" customHeight="1" x14ac:dyDescent="0.25">
      <c r="A28" s="18" t="s">
        <v>66</v>
      </c>
      <c r="B28" s="15">
        <v>2786</v>
      </c>
      <c r="C28" s="15">
        <v>2566</v>
      </c>
      <c r="D28" s="15">
        <v>2550</v>
      </c>
      <c r="E28" s="10">
        <f t="shared" ref="E28:I29" si="6">D28</f>
        <v>2550</v>
      </c>
      <c r="F28" s="10">
        <f t="shared" si="6"/>
        <v>2550</v>
      </c>
      <c r="G28" s="10">
        <f t="shared" si="6"/>
        <v>2550</v>
      </c>
      <c r="H28" s="10">
        <f t="shared" si="6"/>
        <v>2550</v>
      </c>
      <c r="I28" s="10">
        <f t="shared" si="6"/>
        <v>2550</v>
      </c>
    </row>
    <row r="29" spans="1:9" ht="15" customHeight="1" x14ac:dyDescent="0.25">
      <c r="A29" s="18" t="s">
        <v>67</v>
      </c>
      <c r="B29" s="15">
        <v>2558</v>
      </c>
      <c r="C29" s="15">
        <v>2618</v>
      </c>
      <c r="D29" s="15">
        <v>2289</v>
      </c>
      <c r="E29" s="10">
        <f t="shared" si="6"/>
        <v>2289</v>
      </c>
      <c r="F29" s="10">
        <f t="shared" si="6"/>
        <v>2289</v>
      </c>
      <c r="G29" s="10">
        <f t="shared" si="6"/>
        <v>2289</v>
      </c>
      <c r="H29" s="10">
        <f t="shared" si="6"/>
        <v>2289</v>
      </c>
      <c r="I29" s="10">
        <f t="shared" si="6"/>
        <v>2289</v>
      </c>
    </row>
    <row r="30" spans="1:9" ht="15" customHeight="1" x14ac:dyDescent="0.25">
      <c r="A30" s="4" t="s">
        <v>68</v>
      </c>
      <c r="B30" s="17">
        <f t="shared" ref="B30:I30" si="7">B26+B27+B28+B29</f>
        <v>23527</v>
      </c>
      <c r="C30" s="17">
        <f t="shared" si="7"/>
        <v>23680</v>
      </c>
      <c r="D30" s="17">
        <f t="shared" si="7"/>
        <v>23366</v>
      </c>
      <c r="E30" s="17">
        <f t="shared" si="7"/>
        <v>22848.008146229968</v>
      </c>
      <c r="F30" s="17">
        <f t="shared" si="7"/>
        <v>22936.838390616867</v>
      </c>
      <c r="G30" s="17">
        <f t="shared" si="7"/>
        <v>23028.333542335371</v>
      </c>
      <c r="H30" s="17">
        <f t="shared" si="7"/>
        <v>23122.573548605433</v>
      </c>
      <c r="I30" s="17">
        <f t="shared" si="7"/>
        <v>23219.640755063599</v>
      </c>
    </row>
    <row r="32" spans="1:9" ht="15" customHeight="1" x14ac:dyDescent="0.25">
      <c r="A32" s="4" t="s">
        <v>69</v>
      </c>
    </row>
    <row r="33" spans="1:9" ht="15" customHeight="1" x14ac:dyDescent="0.25">
      <c r="A33" s="18" t="s">
        <v>70</v>
      </c>
      <c r="B33" s="15">
        <v>3</v>
      </c>
      <c r="C33" s="15">
        <v>3</v>
      </c>
      <c r="D33" s="15">
        <v>3</v>
      </c>
      <c r="E33" s="10">
        <f>D33</f>
        <v>3</v>
      </c>
      <c r="F33" s="10">
        <f>E33</f>
        <v>3</v>
      </c>
      <c r="G33" s="10">
        <f>F33</f>
        <v>3</v>
      </c>
      <c r="H33" s="10">
        <f>G33</f>
        <v>3</v>
      </c>
      <c r="I33" s="10">
        <f>H33</f>
        <v>3</v>
      </c>
    </row>
    <row r="34" spans="1:9" ht="15" customHeight="1" x14ac:dyDescent="0.25">
      <c r="A34" s="18" t="s">
        <v>71</v>
      </c>
      <c r="B34" s="15">
        <v>12412</v>
      </c>
      <c r="C34" s="15">
        <v>13409</v>
      </c>
      <c r="D34" s="15">
        <v>14195</v>
      </c>
      <c r="E34" s="16">
        <f>D34+'Cash Flow Statement'!E8</f>
        <v>14951</v>
      </c>
      <c r="F34" s="16">
        <f>E34+'Cash Flow Statement'!F8</f>
        <v>15707</v>
      </c>
      <c r="G34" s="16">
        <f>F34+'Cash Flow Statement'!G8</f>
        <v>16463</v>
      </c>
      <c r="H34" s="16">
        <f>G34+'Cash Flow Statement'!H8</f>
        <v>17219</v>
      </c>
      <c r="I34" s="16">
        <f>H34+'Cash Flow Statement'!I8</f>
        <v>17975</v>
      </c>
    </row>
    <row r="35" spans="1:9" ht="15" customHeight="1" x14ac:dyDescent="0.25">
      <c r="A35" s="18" t="s">
        <v>72</v>
      </c>
      <c r="B35" s="15">
        <v>231</v>
      </c>
      <c r="C35" s="15">
        <v>53</v>
      </c>
      <c r="D35" s="15">
        <v>-258</v>
      </c>
      <c r="E35" s="10">
        <f>D35</f>
        <v>-258</v>
      </c>
      <c r="F35" s="10">
        <f>E35</f>
        <v>-258</v>
      </c>
      <c r="G35" s="10">
        <f>F35</f>
        <v>-258</v>
      </c>
      <c r="H35" s="10">
        <f>G35</f>
        <v>-258</v>
      </c>
      <c r="I35" s="10">
        <f>H35</f>
        <v>-258</v>
      </c>
    </row>
    <row r="36" spans="1:9" ht="15" customHeight="1" x14ac:dyDescent="0.25">
      <c r="A36" s="18" t="s">
        <v>73</v>
      </c>
      <c r="B36" s="15">
        <v>1358</v>
      </c>
      <c r="C36" s="15">
        <v>965</v>
      </c>
      <c r="D36" s="15">
        <v>-727</v>
      </c>
      <c r="E36" s="16">
        <f>D36+'Income Statement'!E13+'Cash Flow Statement'!E23+'Cash Flow Statement'!E24</f>
        <v>1937.9660990319499</v>
      </c>
      <c r="F36" s="16">
        <f>E36+'Income Statement'!F13+'Cash Flow Statement'!F23+'Cash Flow Statement'!F24</f>
        <v>4680.7940677433216</v>
      </c>
      <c r="G36" s="16">
        <f>F36+'Income Statement'!G13+'Cash Flow Statement'!G23+'Cash Flow Statement'!G24</f>
        <v>7503.8197622244988</v>
      </c>
      <c r="H36" s="16">
        <f>G36+'Income Statement'!H13+'Cash Flow Statement'!H23+'Cash Flow Statement'!H24</f>
        <v>10409.449114248575</v>
      </c>
      <c r="I36" s="16">
        <f>H36+'Income Statement'!I13+'Cash Flow Statement'!I23+'Cash Flow Statement'!I24</f>
        <v>13400.160233541836</v>
      </c>
    </row>
    <row r="37" spans="1:9" ht="15" customHeight="1" x14ac:dyDescent="0.25">
      <c r="A37" s="4" t="s">
        <v>74</v>
      </c>
      <c r="B37" s="17">
        <f t="shared" ref="B37:I37" si="8">SUM(B33:B36)</f>
        <v>14004</v>
      </c>
      <c r="C37" s="17">
        <f t="shared" si="8"/>
        <v>14430</v>
      </c>
      <c r="D37" s="17">
        <f t="shared" si="8"/>
        <v>13213</v>
      </c>
      <c r="E37" s="17">
        <f t="shared" si="8"/>
        <v>16633.96609903195</v>
      </c>
      <c r="F37" s="17">
        <f t="shared" si="8"/>
        <v>20132.794067743322</v>
      </c>
      <c r="G37" s="17">
        <f t="shared" si="8"/>
        <v>23711.819762224499</v>
      </c>
      <c r="H37" s="17">
        <f t="shared" si="8"/>
        <v>27373.449114248575</v>
      </c>
      <c r="I37" s="17">
        <f t="shared" si="8"/>
        <v>31120.160233541836</v>
      </c>
    </row>
    <row r="39" spans="1:9" ht="15" customHeight="1" x14ac:dyDescent="0.25">
      <c r="A39" s="4" t="s">
        <v>75</v>
      </c>
      <c r="B39" s="17">
        <f t="shared" ref="B39:I39" si="9">B30+B37</f>
        <v>37531</v>
      </c>
      <c r="C39" s="17">
        <f t="shared" si="9"/>
        <v>38110</v>
      </c>
      <c r="D39" s="17">
        <f t="shared" si="9"/>
        <v>36579</v>
      </c>
      <c r="E39" s="17">
        <f t="shared" si="9"/>
        <v>39481.974245261918</v>
      </c>
      <c r="F39" s="17">
        <f t="shared" si="9"/>
        <v>43069.632458360189</v>
      </c>
      <c r="G39" s="17">
        <f t="shared" si="9"/>
        <v>46740.15330455987</v>
      </c>
      <c r="H39" s="17">
        <f t="shared" si="9"/>
        <v>50496.022662854011</v>
      </c>
      <c r="I39" s="17">
        <f t="shared" si="9"/>
        <v>54339.800988605435</v>
      </c>
    </row>
    <row r="41" spans="1:9" ht="15" customHeight="1" x14ac:dyDescent="0.25">
      <c r="A41" s="5" t="s">
        <v>120</v>
      </c>
      <c r="B41" s="20">
        <f t="shared" ref="B41:I41" si="10">B17-B39</f>
        <v>0</v>
      </c>
      <c r="C41" s="20">
        <f t="shared" si="10"/>
        <v>0</v>
      </c>
      <c r="D41" s="20">
        <f t="shared" si="10"/>
        <v>0</v>
      </c>
      <c r="E41" s="20">
        <f t="shared" si="10"/>
        <v>0</v>
      </c>
      <c r="F41" s="20">
        <f t="shared" si="10"/>
        <v>0</v>
      </c>
      <c r="G41" s="20">
        <f t="shared" si="10"/>
        <v>0</v>
      </c>
      <c r="H41" s="20">
        <f t="shared" si="10"/>
        <v>0</v>
      </c>
      <c r="I41" s="20">
        <f t="shared" si="10"/>
        <v>0</v>
      </c>
    </row>
    <row r="43" spans="1:9" ht="27.75" customHeight="1" x14ac:dyDescent="0.25">
      <c r="A43" s="1" t="s">
        <v>76</v>
      </c>
      <c r="B43" s="1"/>
      <c r="C43" s="1"/>
      <c r="D43" s="1"/>
      <c r="E43" s="1"/>
      <c r="F43" s="1"/>
      <c r="G43" s="1"/>
      <c r="H43" s="1"/>
      <c r="I43" s="1"/>
    </row>
  </sheetData>
  <mergeCells count="3">
    <mergeCell ref="A43:I43"/>
    <mergeCell ref="A1:I1"/>
    <mergeCell ref="A2:I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E75B6"/>
  </sheetPr>
  <dimension ref="A1:I34"/>
  <sheetViews>
    <sheetView showGridLines="0" tabSelected="1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D7" sqref="D7"/>
    </sheetView>
  </sheetViews>
  <sheetFormatPr defaultColWidth="8.7109375" defaultRowHeight="15" x14ac:dyDescent="0.25"/>
  <cols>
    <col min="1" max="1" width="42" style="2" customWidth="1"/>
    <col min="2" max="9" width="13" style="2" customWidth="1"/>
  </cols>
  <sheetData>
    <row r="1" spans="1:9" ht="17.25" customHeight="1" x14ac:dyDescent="0.25">
      <c r="A1" s="21" t="s">
        <v>77</v>
      </c>
      <c r="B1" s="21"/>
      <c r="C1" s="21"/>
      <c r="D1" s="21"/>
      <c r="E1" s="21"/>
      <c r="F1" s="21"/>
      <c r="G1" s="21"/>
      <c r="H1" s="21"/>
      <c r="I1" s="21"/>
    </row>
    <row r="2" spans="1:9" ht="15" customHeight="1" x14ac:dyDescent="0.25">
      <c r="A2" s="22" t="s">
        <v>27</v>
      </c>
      <c r="B2" s="22"/>
      <c r="C2" s="22"/>
      <c r="D2" s="22"/>
      <c r="E2" s="22"/>
      <c r="F2" s="22"/>
      <c r="G2" s="22"/>
      <c r="H2" s="22"/>
      <c r="I2" s="22"/>
    </row>
    <row r="4" spans="1:9" ht="15" customHeight="1" x14ac:dyDescent="0.25"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ht="15" customHeight="1" x14ac:dyDescent="0.25">
      <c r="A5" s="4" t="s">
        <v>78</v>
      </c>
    </row>
    <row r="6" spans="1:9" ht="15" customHeight="1" x14ac:dyDescent="0.25">
      <c r="A6" s="18" t="s">
        <v>36</v>
      </c>
      <c r="B6" s="16">
        <f>'Income Statement'!B13</f>
        <v>5070</v>
      </c>
      <c r="C6" s="16">
        <f>'Income Statement'!C13</f>
        <v>5700</v>
      </c>
      <c r="D6" s="16">
        <f>'Income Statement'!D13</f>
        <v>3219</v>
      </c>
      <c r="E6" s="16">
        <f>'Income Statement'!E13</f>
        <v>4441.6101650532501</v>
      </c>
      <c r="F6" s="16">
        <f>'Income Statement'!F13</f>
        <v>4571.3799478522869</v>
      </c>
      <c r="G6" s="16">
        <f>'Income Statement'!G13</f>
        <v>4705.0428241352947</v>
      </c>
      <c r="H6" s="16">
        <f>'Income Statement'!H13</f>
        <v>4842.7155867067922</v>
      </c>
      <c r="I6" s="16">
        <f>'Income Statement'!I13</f>
        <v>4984.5185321554336</v>
      </c>
    </row>
    <row r="7" spans="1:9" ht="15" customHeight="1" x14ac:dyDescent="0.25">
      <c r="A7" s="18" t="s">
        <v>79</v>
      </c>
      <c r="B7" s="16">
        <f>'Supporting Schedules'!B8</f>
        <v>703</v>
      </c>
      <c r="C7" s="16">
        <f>'Supporting Schedules'!C8</f>
        <v>796</v>
      </c>
      <c r="D7" s="16">
        <f>'Supporting Schedules'!D8</f>
        <v>775</v>
      </c>
      <c r="E7" s="16">
        <f>'Supporting Schedules'!E8</f>
        <v>730.72410895532119</v>
      </c>
      <c r="F7" s="16">
        <f>'Supporting Schedules'!F8</f>
        <v>752.64583222398085</v>
      </c>
      <c r="G7" s="16">
        <f>'Supporting Schedules'!G8</f>
        <v>775.22520719070019</v>
      </c>
      <c r="H7" s="16">
        <f>'Supporting Schedules'!H8</f>
        <v>798.4819634064213</v>
      </c>
      <c r="I7" s="16">
        <f>'Supporting Schedules'!I8</f>
        <v>822.43642230861394</v>
      </c>
    </row>
    <row r="8" spans="1:9" ht="15" customHeight="1" x14ac:dyDescent="0.25">
      <c r="A8" s="18" t="s">
        <v>80</v>
      </c>
      <c r="B8" s="15">
        <v>755</v>
      </c>
      <c r="C8" s="15">
        <v>804</v>
      </c>
      <c r="D8" s="15">
        <v>709</v>
      </c>
      <c r="E8" s="16">
        <f>Assumptions!E14</f>
        <v>756</v>
      </c>
      <c r="F8" s="16">
        <f>Assumptions!F14</f>
        <v>756</v>
      </c>
      <c r="G8" s="16">
        <f>Assumptions!G14</f>
        <v>756</v>
      </c>
      <c r="H8" s="16">
        <f>Assumptions!H14</f>
        <v>756</v>
      </c>
      <c r="I8" s="16">
        <f>Assumptions!I14</f>
        <v>756</v>
      </c>
    </row>
    <row r="9" spans="1:9" ht="15" customHeight="1" x14ac:dyDescent="0.25">
      <c r="A9" s="18" t="s">
        <v>81</v>
      </c>
      <c r="B9" s="15">
        <v>-174</v>
      </c>
      <c r="C9" s="15">
        <v>-587</v>
      </c>
      <c r="D9" s="15">
        <v>-218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</row>
    <row r="10" spans="1:9" ht="15" customHeight="1" x14ac:dyDescent="0.25">
      <c r="A10" s="18" t="s">
        <v>82</v>
      </c>
      <c r="B10" s="15">
        <v>489</v>
      </c>
      <c r="C10" s="15">
        <v>-329</v>
      </c>
      <c r="D10" s="15">
        <v>-257</v>
      </c>
      <c r="E10" s="16">
        <f>-('Balance Sheet'!E8-'Balance Sheet'!D8)</f>
        <v>444.69474257549973</v>
      </c>
      <c r="F10" s="16">
        <f>-('Balance Sheet'!F8-'Balance Sheet'!E8)</f>
        <v>-128.16915772273478</v>
      </c>
      <c r="G10" s="16">
        <f>-('Balance Sheet'!G8-'Balance Sheet'!F8)</f>
        <v>-132.01423245441674</v>
      </c>
      <c r="H10" s="16">
        <f>-('Balance Sheet'!H8-'Balance Sheet'!G8)</f>
        <v>-135.97465942804956</v>
      </c>
      <c r="I10" s="16">
        <f>-('Balance Sheet'!I8-'Balance Sheet'!H8)</f>
        <v>-140.05389921089227</v>
      </c>
    </row>
    <row r="11" spans="1:9" ht="15" customHeight="1" x14ac:dyDescent="0.25">
      <c r="A11" s="18" t="s">
        <v>83</v>
      </c>
      <c r="B11" s="15">
        <v>-133</v>
      </c>
      <c r="C11" s="15">
        <v>908</v>
      </c>
      <c r="D11" s="15">
        <v>120</v>
      </c>
      <c r="E11" s="16">
        <f>-('Balance Sheet'!E9-'Balance Sheet'!D9)</f>
        <v>-31.053111419853849</v>
      </c>
      <c r="F11" s="16">
        <f>-('Balance Sheet'!F9-'Balance Sheet'!E9)</f>
        <v>-225.60159334259515</v>
      </c>
      <c r="G11" s="16">
        <f>-('Balance Sheet'!G9-'Balance Sheet'!F9)</f>
        <v>-232.36964114287366</v>
      </c>
      <c r="H11" s="16">
        <f>-('Balance Sheet'!H9-'Balance Sheet'!G9)</f>
        <v>-239.34073037715916</v>
      </c>
      <c r="I11" s="16">
        <f>-('Balance Sheet'!I9-'Balance Sheet'!H9)</f>
        <v>-246.52095228847611</v>
      </c>
    </row>
    <row r="12" spans="1:9" ht="15" customHeight="1" x14ac:dyDescent="0.25">
      <c r="A12" s="18" t="s">
        <v>84</v>
      </c>
      <c r="B12" s="15">
        <v>-373</v>
      </c>
      <c r="C12" s="15">
        <v>148</v>
      </c>
      <c r="D12" s="15">
        <v>-1278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</row>
    <row r="13" spans="1:9" ht="15" customHeight="1" x14ac:dyDescent="0.25">
      <c r="A13" s="18" t="s">
        <v>85</v>
      </c>
      <c r="B13" s="15">
        <v>-496</v>
      </c>
      <c r="C13" s="15">
        <v>-11</v>
      </c>
      <c r="D13" s="15">
        <v>628</v>
      </c>
      <c r="E13" s="16">
        <f>'Balance Sheet'!E22-'Balance Sheet'!D22</f>
        <v>-517.99185377003141</v>
      </c>
      <c r="F13" s="16">
        <f>'Balance Sheet'!F22-'Balance Sheet'!E22</f>
        <v>88.830244386899267</v>
      </c>
      <c r="G13" s="16">
        <f>'Balance Sheet'!G22-'Balance Sheet'!F22</f>
        <v>91.49515171850544</v>
      </c>
      <c r="H13" s="16">
        <f>'Balance Sheet'!H22-'Balance Sheet'!G22</f>
        <v>94.240006270061258</v>
      </c>
      <c r="I13" s="16">
        <f>'Balance Sheet'!I22-'Balance Sheet'!H22</f>
        <v>97.067206458164037</v>
      </c>
    </row>
    <row r="14" spans="1:9" ht="15" customHeight="1" x14ac:dyDescent="0.25">
      <c r="A14" s="4" t="s">
        <v>86</v>
      </c>
      <c r="B14" s="17">
        <f t="shared" ref="B14:I14" si="0">SUM(B6:B13)</f>
        <v>5841</v>
      </c>
      <c r="C14" s="17">
        <f t="shared" si="0"/>
        <v>7429</v>
      </c>
      <c r="D14" s="17">
        <f t="shared" si="0"/>
        <v>3698</v>
      </c>
      <c r="E14" s="17">
        <f t="shared" si="0"/>
        <v>5823.9840513941854</v>
      </c>
      <c r="F14" s="17">
        <f t="shared" si="0"/>
        <v>5815.0852733978372</v>
      </c>
      <c r="G14" s="17">
        <f t="shared" si="0"/>
        <v>5963.3793094472103</v>
      </c>
      <c r="H14" s="17">
        <f t="shared" si="0"/>
        <v>6116.1221665780668</v>
      </c>
      <c r="I14" s="17">
        <f t="shared" si="0"/>
        <v>6273.4473094228433</v>
      </c>
    </row>
    <row r="16" spans="1:9" ht="15" customHeight="1" x14ac:dyDescent="0.25">
      <c r="A16" s="4" t="s">
        <v>87</v>
      </c>
    </row>
    <row r="17" spans="1:9" ht="15" customHeight="1" x14ac:dyDescent="0.25">
      <c r="A17" s="18" t="s">
        <v>88</v>
      </c>
      <c r="B17" s="16">
        <f>-'Supporting Schedules'!B7</f>
        <v>-969</v>
      </c>
      <c r="C17" s="16">
        <f>-'Supporting Schedules'!C7</f>
        <v>-812</v>
      </c>
      <c r="D17" s="16">
        <f>-'Supporting Schedules'!D7</f>
        <v>-430</v>
      </c>
      <c r="E17" s="16">
        <f>-'Supporting Schedules'!E7</f>
        <v>-699.80206275417447</v>
      </c>
      <c r="F17" s="16">
        <f>-'Supporting Schedules'!F7</f>
        <v>-720.79612463679973</v>
      </c>
      <c r="G17" s="16">
        <f>-'Supporting Schedules'!G7</f>
        <v>-742.42000837590376</v>
      </c>
      <c r="H17" s="16">
        <f>-'Supporting Schedules'!H7</f>
        <v>-764.6926086271809</v>
      </c>
      <c r="I17" s="16">
        <f>-'Supporting Schedules'!I7</f>
        <v>-787.6333868859964</v>
      </c>
    </row>
    <row r="18" spans="1:9" ht="15" customHeight="1" x14ac:dyDescent="0.25">
      <c r="A18" s="18" t="s">
        <v>89</v>
      </c>
      <c r="B18" s="15">
        <v>1533</v>
      </c>
      <c r="C18" s="15">
        <v>1706</v>
      </c>
      <c r="D18" s="15">
        <v>155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</row>
    <row r="19" spans="1:9" ht="15" customHeight="1" x14ac:dyDescent="0.25">
      <c r="A19" s="4" t="s">
        <v>90</v>
      </c>
      <c r="B19" s="17">
        <f t="shared" ref="B19:I19" si="1">SUM(B17:B18)</f>
        <v>564</v>
      </c>
      <c r="C19" s="17">
        <f t="shared" si="1"/>
        <v>894</v>
      </c>
      <c r="D19" s="17">
        <f t="shared" si="1"/>
        <v>-275</v>
      </c>
      <c r="E19" s="17">
        <f t="shared" si="1"/>
        <v>-699.80206275417447</v>
      </c>
      <c r="F19" s="17">
        <f t="shared" si="1"/>
        <v>-720.79612463679973</v>
      </c>
      <c r="G19" s="17">
        <f t="shared" si="1"/>
        <v>-742.42000837590376</v>
      </c>
      <c r="H19" s="17">
        <f t="shared" si="1"/>
        <v>-764.6926086271809</v>
      </c>
      <c r="I19" s="17">
        <f t="shared" si="1"/>
        <v>-787.6333868859964</v>
      </c>
    </row>
    <row r="21" spans="1:9" ht="15" customHeight="1" x14ac:dyDescent="0.25">
      <c r="A21" s="4" t="s">
        <v>91</v>
      </c>
    </row>
    <row r="22" spans="1:9" ht="15" customHeight="1" x14ac:dyDescent="0.25">
      <c r="A22" s="18" t="s">
        <v>92</v>
      </c>
      <c r="B22" s="15">
        <v>-504</v>
      </c>
      <c r="C22" s="15">
        <v>0</v>
      </c>
      <c r="D22" s="15">
        <v>-1000</v>
      </c>
      <c r="E22" s="16">
        <f>Assumptions!E24</f>
        <v>0</v>
      </c>
      <c r="F22" s="16">
        <f>Assumptions!F24</f>
        <v>0</v>
      </c>
      <c r="G22" s="16">
        <f>Assumptions!G24</f>
        <v>0</v>
      </c>
      <c r="H22" s="16">
        <f>Assumptions!H24</f>
        <v>0</v>
      </c>
      <c r="I22" s="16">
        <f>Assumptions!I24</f>
        <v>0</v>
      </c>
    </row>
    <row r="23" spans="1:9" ht="15" customHeight="1" x14ac:dyDescent="0.25">
      <c r="A23" s="18" t="s">
        <v>93</v>
      </c>
      <c r="B23" s="15">
        <v>-2012</v>
      </c>
      <c r="C23" s="15">
        <v>-2169</v>
      </c>
      <c r="D23" s="15">
        <v>-2300</v>
      </c>
      <c r="E23" s="16">
        <f>-Assumptions!E22*'Income Statement'!E13</f>
        <v>-1776.6440660213002</v>
      </c>
      <c r="F23" s="16">
        <f>-Assumptions!F22*'Income Statement'!F13</f>
        <v>-1828.5519791409149</v>
      </c>
      <c r="G23" s="16">
        <f>-Assumptions!G22*'Income Statement'!G13</f>
        <v>-1882.017129654118</v>
      </c>
      <c r="H23" s="16">
        <f>-Assumptions!H22*'Income Statement'!H13</f>
        <v>-1937.0862346827171</v>
      </c>
      <c r="I23" s="16">
        <f>-Assumptions!I22*'Income Statement'!I13</f>
        <v>-1993.8074128621736</v>
      </c>
    </row>
    <row r="24" spans="1:9" ht="15" customHeight="1" x14ac:dyDescent="0.25">
      <c r="A24" s="18" t="s">
        <v>94</v>
      </c>
      <c r="B24" s="15">
        <v>-5480</v>
      </c>
      <c r="C24" s="15">
        <v>-4250</v>
      </c>
      <c r="D24" s="15">
        <v>-2985</v>
      </c>
      <c r="E24" s="16">
        <f>-Assumptions!E23</f>
        <v>0</v>
      </c>
      <c r="F24" s="16">
        <f>-Assumptions!F23</f>
        <v>0</v>
      </c>
      <c r="G24" s="16">
        <f>-Assumptions!G23</f>
        <v>0</v>
      </c>
      <c r="H24" s="16">
        <f>-Assumptions!H23</f>
        <v>0</v>
      </c>
      <c r="I24" s="16">
        <f>-Assumptions!I23</f>
        <v>0</v>
      </c>
    </row>
    <row r="25" spans="1:9" ht="15" customHeight="1" x14ac:dyDescent="0.25">
      <c r="A25" s="18" t="s">
        <v>95</v>
      </c>
      <c r="B25" s="15">
        <v>549</v>
      </c>
      <c r="C25" s="15">
        <v>531</v>
      </c>
      <c r="D25" s="15">
        <v>465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</row>
    <row r="26" spans="1:9" ht="15" customHeight="1" x14ac:dyDescent="0.25">
      <c r="A26" s="4" t="s">
        <v>96</v>
      </c>
      <c r="B26" s="17">
        <f t="shared" ref="B26:I26" si="2">SUM(B22:B25)</f>
        <v>-7447</v>
      </c>
      <c r="C26" s="17">
        <f t="shared" si="2"/>
        <v>-5888</v>
      </c>
      <c r="D26" s="17">
        <f t="shared" si="2"/>
        <v>-5820</v>
      </c>
      <c r="E26" s="17">
        <f t="shared" si="2"/>
        <v>-1776.6440660213002</v>
      </c>
      <c r="F26" s="17">
        <f t="shared" si="2"/>
        <v>-1828.5519791409149</v>
      </c>
      <c r="G26" s="17">
        <f t="shared" si="2"/>
        <v>-1882.017129654118</v>
      </c>
      <c r="H26" s="17">
        <f t="shared" si="2"/>
        <v>-1937.0862346827171</v>
      </c>
      <c r="I26" s="17">
        <f t="shared" si="2"/>
        <v>-1993.8074128621736</v>
      </c>
    </row>
    <row r="28" spans="1:9" ht="15" customHeight="1" x14ac:dyDescent="0.25">
      <c r="A28" s="5" t="s">
        <v>97</v>
      </c>
      <c r="B28" s="15">
        <v>-91</v>
      </c>
      <c r="C28" s="15">
        <v>-16</v>
      </c>
      <c r="D28" s="15">
        <v>1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</row>
    <row r="29" spans="1:9" ht="15" customHeight="1" x14ac:dyDescent="0.25">
      <c r="A29" s="4" t="s">
        <v>98</v>
      </c>
      <c r="B29" s="14">
        <f t="shared" ref="B29:I29" si="3">B14+B19+B26+B28</f>
        <v>-1133</v>
      </c>
      <c r="C29" s="14">
        <f t="shared" si="3"/>
        <v>2419</v>
      </c>
      <c r="D29" s="14">
        <f t="shared" si="3"/>
        <v>-2396</v>
      </c>
      <c r="E29" s="14">
        <f t="shared" si="3"/>
        <v>3347.5379226187106</v>
      </c>
      <c r="F29" s="14">
        <f t="shared" si="3"/>
        <v>3265.7371696201226</v>
      </c>
      <c r="G29" s="14">
        <f t="shared" si="3"/>
        <v>3338.942171417189</v>
      </c>
      <c r="H29" s="14">
        <f t="shared" si="3"/>
        <v>3414.3433232681691</v>
      </c>
      <c r="I29" s="14">
        <f t="shared" si="3"/>
        <v>3492.006509674673</v>
      </c>
    </row>
    <row r="30" spans="1:9" ht="15" customHeight="1" x14ac:dyDescent="0.25">
      <c r="A30" s="5" t="s">
        <v>99</v>
      </c>
      <c r="B30" s="15">
        <v>8574</v>
      </c>
      <c r="C30" s="10">
        <f t="shared" ref="C30:I30" si="4">B31</f>
        <v>7441</v>
      </c>
      <c r="D30" s="10">
        <f t="shared" si="4"/>
        <v>9860</v>
      </c>
      <c r="E30" s="10">
        <f t="shared" si="4"/>
        <v>7464</v>
      </c>
      <c r="F30" s="10">
        <f t="shared" si="4"/>
        <v>10811.537922618711</v>
      </c>
      <c r="G30" s="10">
        <f t="shared" si="4"/>
        <v>14077.275092238833</v>
      </c>
      <c r="H30" s="10">
        <f t="shared" si="4"/>
        <v>17416.217263656021</v>
      </c>
      <c r="I30" s="10">
        <f t="shared" si="4"/>
        <v>20830.560586924192</v>
      </c>
    </row>
    <row r="31" spans="1:9" ht="15" customHeight="1" x14ac:dyDescent="0.25">
      <c r="A31" s="4" t="s">
        <v>100</v>
      </c>
      <c r="B31" s="17">
        <f t="shared" ref="B31:I31" si="5">B30+B29</f>
        <v>7441</v>
      </c>
      <c r="C31" s="17">
        <f t="shared" si="5"/>
        <v>9860</v>
      </c>
      <c r="D31" s="17">
        <f t="shared" si="5"/>
        <v>7464</v>
      </c>
      <c r="E31" s="17">
        <f t="shared" si="5"/>
        <v>10811.537922618711</v>
      </c>
      <c r="F31" s="17">
        <f t="shared" si="5"/>
        <v>14077.275092238833</v>
      </c>
      <c r="G31" s="17">
        <f t="shared" si="5"/>
        <v>17416.217263656021</v>
      </c>
      <c r="H31" s="17">
        <f t="shared" si="5"/>
        <v>20830.560586924192</v>
      </c>
      <c r="I31" s="17">
        <f t="shared" si="5"/>
        <v>24322.567096598865</v>
      </c>
    </row>
    <row r="32" spans="1:9" ht="15" customHeight="1" x14ac:dyDescent="0.25">
      <c r="A32" s="5" t="s">
        <v>101</v>
      </c>
      <c r="B32" s="20">
        <f>B31-'Balance Sheet'!B6</f>
        <v>0</v>
      </c>
      <c r="C32" s="20">
        <f>C31-'Balance Sheet'!C6</f>
        <v>0</v>
      </c>
      <c r="D32" s="20">
        <f>D31-'Balance Sheet'!D6</f>
        <v>0</v>
      </c>
      <c r="E32" s="20">
        <f>E31-'Balance Sheet'!E6</f>
        <v>0</v>
      </c>
      <c r="F32" s="20">
        <f>F31-'Balance Sheet'!F6</f>
        <v>0</v>
      </c>
      <c r="G32" s="20">
        <f>G31-'Balance Sheet'!G6</f>
        <v>0</v>
      </c>
      <c r="H32" s="20">
        <f>H31-'Balance Sheet'!H6</f>
        <v>0</v>
      </c>
      <c r="I32" s="20">
        <f>I31-'Balance Sheet'!I6</f>
        <v>0</v>
      </c>
    </row>
    <row r="34" spans="1:9" ht="39.75" customHeight="1" x14ac:dyDescent="0.25">
      <c r="A34" s="1" t="s">
        <v>102</v>
      </c>
      <c r="B34" s="1"/>
      <c r="C34" s="1"/>
      <c r="D34" s="1"/>
      <c r="E34" s="1"/>
      <c r="F34" s="1"/>
      <c r="G34" s="1"/>
      <c r="H34" s="1"/>
      <c r="I34" s="1"/>
    </row>
  </sheetData>
  <mergeCells count="3">
    <mergeCell ref="A34:I34"/>
    <mergeCell ref="A1:I1"/>
    <mergeCell ref="A2:I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808080"/>
  </sheetPr>
  <dimension ref="A1:I22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E13" sqref="E13"/>
    </sheetView>
  </sheetViews>
  <sheetFormatPr defaultColWidth="8.7109375" defaultRowHeight="15" x14ac:dyDescent="0.25"/>
  <cols>
    <col min="1" max="1" width="42" style="2" customWidth="1"/>
    <col min="2" max="9" width="13" style="2" customWidth="1"/>
  </cols>
  <sheetData>
    <row r="1" spans="1:9" ht="17.25" customHeight="1" x14ac:dyDescent="0.25">
      <c r="A1" s="21" t="s">
        <v>103</v>
      </c>
      <c r="B1" s="21"/>
      <c r="C1" s="21"/>
      <c r="D1" s="21"/>
      <c r="E1" s="21"/>
      <c r="F1" s="21"/>
      <c r="G1" s="21"/>
      <c r="H1" s="21"/>
      <c r="I1" s="21"/>
    </row>
    <row r="2" spans="1:9" ht="15" customHeight="1" x14ac:dyDescent="0.25">
      <c r="A2" s="22" t="s">
        <v>104</v>
      </c>
      <c r="B2" s="22"/>
      <c r="C2" s="22"/>
      <c r="D2" s="22"/>
      <c r="E2" s="22"/>
      <c r="F2" s="22"/>
      <c r="G2" s="22"/>
      <c r="H2" s="22"/>
      <c r="I2" s="22"/>
    </row>
    <row r="4" spans="1:9" ht="15" customHeight="1" x14ac:dyDescent="0.25"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ht="15" customHeight="1" x14ac:dyDescent="0.25">
      <c r="A5" s="4" t="s">
        <v>105</v>
      </c>
    </row>
    <row r="6" spans="1:9" ht="15" customHeight="1" x14ac:dyDescent="0.25">
      <c r="A6" s="18" t="s">
        <v>106</v>
      </c>
      <c r="B6" s="15">
        <v>4791</v>
      </c>
      <c r="C6" s="10">
        <f t="shared" ref="C6:I6" si="0">B10</f>
        <v>5081</v>
      </c>
      <c r="D6" s="10">
        <f t="shared" si="0"/>
        <v>5000</v>
      </c>
      <c r="E6" s="10">
        <f t="shared" si="0"/>
        <v>4828</v>
      </c>
      <c r="F6" s="10">
        <f t="shared" si="0"/>
        <v>4797.0779537988537</v>
      </c>
      <c r="G6" s="10">
        <f t="shared" si="0"/>
        <v>4765.2282462116727</v>
      </c>
      <c r="H6" s="10">
        <f t="shared" si="0"/>
        <v>4732.4230473968764</v>
      </c>
      <c r="I6" s="10">
        <f t="shared" si="0"/>
        <v>4698.6336926176355</v>
      </c>
    </row>
    <row r="7" spans="1:9" ht="15" customHeight="1" x14ac:dyDescent="0.25">
      <c r="A7" s="18" t="s">
        <v>107</v>
      </c>
      <c r="B7" s="15">
        <v>969</v>
      </c>
      <c r="C7" s="15">
        <v>812</v>
      </c>
      <c r="D7" s="15">
        <v>430</v>
      </c>
      <c r="E7" s="16">
        <f>'Income Statement'!E5*Assumptions!E11</f>
        <v>699.80206275417447</v>
      </c>
      <c r="F7" s="16">
        <f>'Income Statement'!F5*Assumptions!F11</f>
        <v>720.79612463679973</v>
      </c>
      <c r="G7" s="16">
        <f>'Income Statement'!G5*Assumptions!G11</f>
        <v>742.42000837590376</v>
      </c>
      <c r="H7" s="16">
        <f>'Income Statement'!H5*Assumptions!H11</f>
        <v>764.6926086271809</v>
      </c>
      <c r="I7" s="16">
        <f>'Income Statement'!I5*Assumptions!I11</f>
        <v>787.6333868859964</v>
      </c>
    </row>
    <row r="8" spans="1:9" ht="15" customHeight="1" x14ac:dyDescent="0.25">
      <c r="A8" s="18" t="s">
        <v>108</v>
      </c>
      <c r="B8" s="15">
        <v>703</v>
      </c>
      <c r="C8" s="15">
        <v>796</v>
      </c>
      <c r="D8" s="15">
        <v>775</v>
      </c>
      <c r="E8" s="16">
        <f>'Income Statement'!E5*Assumptions!E10</f>
        <v>730.72410895532119</v>
      </c>
      <c r="F8" s="16">
        <f>'Income Statement'!F5*Assumptions!F10</f>
        <v>752.64583222398085</v>
      </c>
      <c r="G8" s="16">
        <f>'Income Statement'!G5*Assumptions!G10</f>
        <v>775.22520719070019</v>
      </c>
      <c r="H8" s="16">
        <f>'Income Statement'!H5*Assumptions!H10</f>
        <v>798.4819634064213</v>
      </c>
      <c r="I8" s="16">
        <f>'Income Statement'!I5*Assumptions!I10</f>
        <v>822.43642230861394</v>
      </c>
    </row>
    <row r="9" spans="1:9" ht="15" customHeight="1" x14ac:dyDescent="0.25">
      <c r="A9" s="18" t="s">
        <v>109</v>
      </c>
      <c r="B9" s="16">
        <f>'Balance Sheet'!B12-(B6+B7-B8)</f>
        <v>24</v>
      </c>
      <c r="C9" s="16">
        <f>'Balance Sheet'!C12-(C6+C7-C8)</f>
        <v>-97</v>
      </c>
      <c r="D9" s="16">
        <f>'Balance Sheet'!D12-(D6+D7-D8)</f>
        <v>173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</row>
    <row r="10" spans="1:9" ht="15" customHeight="1" x14ac:dyDescent="0.25">
      <c r="A10" s="19" t="s">
        <v>110</v>
      </c>
      <c r="B10" s="17">
        <f t="shared" ref="B10:I10" si="1">B6+B7-B8+B9</f>
        <v>5081</v>
      </c>
      <c r="C10" s="17">
        <f t="shared" si="1"/>
        <v>5000</v>
      </c>
      <c r="D10" s="17">
        <f t="shared" si="1"/>
        <v>4828</v>
      </c>
      <c r="E10" s="17">
        <f t="shared" si="1"/>
        <v>4797.0779537988537</v>
      </c>
      <c r="F10" s="17">
        <f t="shared" si="1"/>
        <v>4765.2282462116727</v>
      </c>
      <c r="G10" s="17">
        <f t="shared" si="1"/>
        <v>4732.4230473968764</v>
      </c>
      <c r="H10" s="17">
        <f t="shared" si="1"/>
        <v>4698.6336926176355</v>
      </c>
      <c r="I10" s="17">
        <f t="shared" si="1"/>
        <v>4663.8306571950179</v>
      </c>
    </row>
    <row r="12" spans="1:9" ht="15" customHeight="1" x14ac:dyDescent="0.25">
      <c r="A12" s="4" t="s">
        <v>111</v>
      </c>
    </row>
    <row r="13" spans="1:9" ht="15" customHeight="1" x14ac:dyDescent="0.25">
      <c r="A13" s="18" t="s">
        <v>112</v>
      </c>
      <c r="B13" s="16">
        <f>'Balance Sheet'!B8</f>
        <v>4131</v>
      </c>
      <c r="C13" s="16">
        <f>'Balance Sheet'!C8</f>
        <v>4427</v>
      </c>
      <c r="D13" s="16">
        <f>'Balance Sheet'!D8</f>
        <v>4717</v>
      </c>
      <c r="E13" s="16">
        <f>'Income Statement'!E5*Assumptions!E17/365</f>
        <v>4272.3052574245003</v>
      </c>
      <c r="F13" s="16">
        <f>'Income Statement'!F5*Assumptions!F17/365</f>
        <v>4400.474415147235</v>
      </c>
      <c r="G13" s="16">
        <f>'Income Statement'!G5*Assumptions!G17/365</f>
        <v>4532.4886476016518</v>
      </c>
      <c r="H13" s="16">
        <f>'Income Statement'!H5*Assumptions!H17/365</f>
        <v>4668.4633070297014</v>
      </c>
      <c r="I13" s="16">
        <f>'Income Statement'!I5*Assumptions!I17/365</f>
        <v>4808.5172062405936</v>
      </c>
    </row>
    <row r="14" spans="1:9" ht="15" customHeight="1" x14ac:dyDescent="0.25">
      <c r="A14" s="18" t="s">
        <v>113</v>
      </c>
      <c r="B14" s="16">
        <f>'Balance Sheet'!B9</f>
        <v>8454</v>
      </c>
      <c r="C14" s="16">
        <f>'Balance Sheet'!C9</f>
        <v>7519</v>
      </c>
      <c r="D14" s="16">
        <f>'Balance Sheet'!D9</f>
        <v>7489</v>
      </c>
      <c r="E14" s="16">
        <f>'Income Statement'!E6*Assumptions!E18/365</f>
        <v>7520.0531114198538</v>
      </c>
      <c r="F14" s="16">
        <f>'Income Statement'!F6*Assumptions!F18/365</f>
        <v>7745.654704762449</v>
      </c>
      <c r="G14" s="16">
        <f>'Income Statement'!G6*Assumptions!G18/365</f>
        <v>7978.0243459053227</v>
      </c>
      <c r="H14" s="16">
        <f>'Income Statement'!H6*Assumptions!H18/365</f>
        <v>8217.3650762824818</v>
      </c>
      <c r="I14" s="16">
        <f>'Income Statement'!I6*Assumptions!I18/365</f>
        <v>8463.8860285709579</v>
      </c>
    </row>
    <row r="15" spans="1:9" ht="15" customHeight="1" x14ac:dyDescent="0.25">
      <c r="A15" s="18" t="s">
        <v>114</v>
      </c>
      <c r="B15" s="16">
        <f>'Balance Sheet'!B22</f>
        <v>2862</v>
      </c>
      <c r="C15" s="16">
        <f>'Balance Sheet'!C22</f>
        <v>2851</v>
      </c>
      <c r="D15" s="16">
        <f>'Balance Sheet'!D22</f>
        <v>3479</v>
      </c>
      <c r="E15" s="16">
        <f>'Income Statement'!E6*Assumptions!E19/365</f>
        <v>2961.0081462299686</v>
      </c>
      <c r="F15" s="16">
        <f>'Income Statement'!F6*Assumptions!F19/365</f>
        <v>3049.8383906168679</v>
      </c>
      <c r="G15" s="16">
        <f>'Income Statement'!G6*Assumptions!G19/365</f>
        <v>3141.3335423353733</v>
      </c>
      <c r="H15" s="16">
        <f>'Income Statement'!H6*Assumptions!H19/365</f>
        <v>3235.5735486054346</v>
      </c>
      <c r="I15" s="16">
        <f>'Income Statement'!I6*Assumptions!I19/365</f>
        <v>3332.6407550635986</v>
      </c>
    </row>
    <row r="17" spans="1:9" ht="15" customHeight="1" x14ac:dyDescent="0.25">
      <c r="A17" s="4" t="s">
        <v>115</v>
      </c>
    </row>
    <row r="18" spans="1:9" ht="15" customHeight="1" x14ac:dyDescent="0.25">
      <c r="A18" s="18" t="s">
        <v>116</v>
      </c>
      <c r="B18" s="15">
        <v>8920</v>
      </c>
      <c r="C18" s="10">
        <f t="shared" ref="C18:I18" si="2">B20</f>
        <v>8927</v>
      </c>
      <c r="D18" s="10">
        <f t="shared" si="2"/>
        <v>7903</v>
      </c>
      <c r="E18" s="10">
        <f t="shared" si="2"/>
        <v>7961</v>
      </c>
      <c r="F18" s="10">
        <f t="shared" si="2"/>
        <v>7961</v>
      </c>
      <c r="G18" s="10">
        <f t="shared" si="2"/>
        <v>7961</v>
      </c>
      <c r="H18" s="10">
        <f t="shared" si="2"/>
        <v>7961</v>
      </c>
      <c r="I18" s="10">
        <f t="shared" si="2"/>
        <v>7961</v>
      </c>
    </row>
    <row r="19" spans="1:9" ht="15" customHeight="1" x14ac:dyDescent="0.25">
      <c r="A19" s="18" t="s">
        <v>117</v>
      </c>
      <c r="B19" s="16">
        <f>'Balance Sheet'!B27-B18</f>
        <v>7</v>
      </c>
      <c r="C19" s="16">
        <f>'Balance Sheet'!C27-C18</f>
        <v>-1024</v>
      </c>
      <c r="D19" s="16">
        <f>'Balance Sheet'!D27-D18</f>
        <v>58</v>
      </c>
      <c r="E19" s="16">
        <f>Assumptions!E24</f>
        <v>0</v>
      </c>
      <c r="F19" s="16">
        <f>Assumptions!F24</f>
        <v>0</v>
      </c>
      <c r="G19" s="16">
        <f>Assumptions!G24</f>
        <v>0</v>
      </c>
      <c r="H19" s="16">
        <f>Assumptions!H24</f>
        <v>0</v>
      </c>
      <c r="I19" s="16">
        <f>Assumptions!I24</f>
        <v>0</v>
      </c>
    </row>
    <row r="20" spans="1:9" ht="15" customHeight="1" x14ac:dyDescent="0.25">
      <c r="A20" s="19" t="s">
        <v>118</v>
      </c>
      <c r="B20" s="17">
        <f t="shared" ref="B20:I20" si="3">B18+B19</f>
        <v>8927</v>
      </c>
      <c r="C20" s="17">
        <f t="shared" si="3"/>
        <v>7903</v>
      </c>
      <c r="D20" s="17">
        <f t="shared" si="3"/>
        <v>7961</v>
      </c>
      <c r="E20" s="17">
        <f t="shared" si="3"/>
        <v>7961</v>
      </c>
      <c r="F20" s="17">
        <f t="shared" si="3"/>
        <v>7961</v>
      </c>
      <c r="G20" s="17">
        <f t="shared" si="3"/>
        <v>7961</v>
      </c>
      <c r="H20" s="17">
        <f t="shared" si="3"/>
        <v>7961</v>
      </c>
      <c r="I20" s="17">
        <f t="shared" si="3"/>
        <v>7961</v>
      </c>
    </row>
    <row r="22" spans="1:9" ht="39.75" customHeight="1" x14ac:dyDescent="0.25">
      <c r="A22" s="1" t="s">
        <v>119</v>
      </c>
      <c r="B22" s="1"/>
      <c r="C22" s="1"/>
      <c r="D22" s="1"/>
      <c r="E22" s="1"/>
      <c r="F22" s="1"/>
      <c r="G22" s="1"/>
      <c r="H22" s="1"/>
      <c r="I22" s="1"/>
    </row>
  </sheetData>
  <mergeCells count="3">
    <mergeCell ref="A22:I22"/>
    <mergeCell ref="A1:I1"/>
    <mergeCell ref="A2:I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Assumptions</vt:lpstr>
      <vt:lpstr>Income Statement</vt:lpstr>
      <vt:lpstr>Balance Sheet</vt:lpstr>
      <vt:lpstr>Cash Flow Statement</vt:lpstr>
      <vt:lpstr>Supporting Schedules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Gandharva Paranjape</cp:lastModifiedBy>
  <cp:revision>0</cp:revision>
  <dcterms:created xsi:type="dcterms:W3CDTF">2026-09-25T21:03:00Z</dcterms:created>
  <dcterms:modified xsi:type="dcterms:W3CDTF">2026-09-26T17:49:01Z</dcterms:modified>
  <dc:language>en-US</dc:language>
</cp:coreProperties>
</file>